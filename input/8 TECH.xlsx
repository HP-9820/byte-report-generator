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VRMfX8dg0a6REHl/8s3bOc48SiU4OwmXruDAuC1rG0="/>
    </ext>
  </extLst>
</workbook>
</file>

<file path=xl/sharedStrings.xml><?xml version="1.0" encoding="utf-8"?>
<sst xmlns="http://schemas.openxmlformats.org/spreadsheetml/2006/main" count="732" uniqueCount="241">
  <si>
    <t>8 T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</si>
  <si>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</si>
  <si>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</si>
  <si>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</si>
  <si>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</si>
  <si>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</si>
  <si>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</si>
  <si>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</si>
  <si>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</si>
  <si>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</si>
  <si>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</si>
  <si>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</si>
  <si>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</si>
  <si>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</si>
  <si>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</si>
  <si>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</si>
  <si>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</si>
  <si>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</si>
  <si>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</si>
  <si>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</si>
  <si>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</si>
  <si>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</si>
  <si>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</si>
  <si>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</si>
  <si>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</si>
  <si>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</si>
  <si>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</si>
  <si>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</si>
  <si>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</si>
  <si>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</si>
  <si>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</si>
  <si>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Average</t>
  </si>
  <si>
    <t>ByTE Review - 1</t>
  </si>
  <si>
    <t>ByTE Review - 2</t>
  </si>
  <si>
    <t>ByTE Review - 3</t>
  </si>
  <si>
    <t>Student Name / Roll Number</t>
  </si>
  <si>
    <t>Co-Curriculars</t>
  </si>
  <si>
    <t>Score</t>
  </si>
  <si>
    <t>Feedback</t>
  </si>
  <si>
    <t>Score Average</t>
  </si>
  <si>
    <t>Consolidated feedback</t>
  </si>
  <si>
    <t xml:space="preserve">YELLA GOUTHAM </t>
  </si>
  <si>
    <t>Academics</t>
  </si>
  <si>
    <t>INTERESTED BIOLOY ESPECIALLY IN AGRICULTURE</t>
  </si>
  <si>
    <t>Games</t>
  </si>
  <si>
    <t>GOOD IN KHO KHO</t>
  </si>
  <si>
    <t>GOOD IN SHUTTLE</t>
  </si>
  <si>
    <t>PLAYING WELL IN SHUTTLE</t>
  </si>
  <si>
    <t>INTERESTED IN BADMINTON</t>
  </si>
  <si>
    <t>PERFORMING WELL IN SHUTTLE</t>
  </si>
  <si>
    <t>INTERESTED IN FOOTBALL,CRICKET PREFER BOWLING IN CRICKET</t>
  </si>
  <si>
    <t>Computers</t>
  </si>
  <si>
    <t>PARTICIPATING NEED TO BE MORTIVATED</t>
  </si>
  <si>
    <t>ANSWERING WELL PERFORMING WELL</t>
  </si>
  <si>
    <t>SHOWING INTEREST NEED TO PRACTICE</t>
  </si>
  <si>
    <t>INTERESTED IN GTA PLAYING GAME IN COMPUTER</t>
  </si>
  <si>
    <t>ANSWERING WELL AND PERFORMING WELL</t>
  </si>
  <si>
    <t>INTERESTED IN LEARNING CODING AND KHOWS VIDEO EDITING</t>
  </si>
  <si>
    <t>Drawing</t>
  </si>
  <si>
    <t>AB</t>
  </si>
  <si>
    <t>AVERAGE PARTICIPATION IN CLASS</t>
  </si>
  <si>
    <t>BUILDING GRADUAL TONAL TRASITION FORMS</t>
  </si>
  <si>
    <t>ACTIVE PARTICEPATION NEED PRACTICE</t>
  </si>
  <si>
    <t xml:space="preserve">NEED TO CORRECT THE SHADING WHILE  BLENDING </t>
  </si>
  <si>
    <t>PROPORTION OF THE FIGURE IS ACCURATE</t>
  </si>
  <si>
    <t>Library</t>
  </si>
  <si>
    <t>NO CLASS DUE TO HOLIDAY</t>
  </si>
  <si>
    <t>GOOD VOCABULARY INTERESTED IN READING</t>
  </si>
  <si>
    <t>INTERESTED IN READING MORAL STORIES</t>
  </si>
  <si>
    <t>AVERAGE PARTICEPATION</t>
  </si>
  <si>
    <t>JUST PARTCIPATING</t>
  </si>
  <si>
    <t>PREFER COMIC&amp;CRIME THRILLERS TO READ</t>
  </si>
  <si>
    <t>Others</t>
  </si>
  <si>
    <t>S KUSHAL SIMHA RAO</t>
  </si>
  <si>
    <t>INTERESTED IN PHYSICS ESPECIALLY IN FORCE &amp; FRICTION</t>
  </si>
  <si>
    <t>INTERESTED IN CRICKET</t>
  </si>
  <si>
    <t xml:space="preserve">INTERESTED IN FOOTBALL,CRICKET </t>
  </si>
  <si>
    <t>INTERESTED IN ANIMATION IN COMPUTER</t>
  </si>
  <si>
    <t>INTERESTED IN KRITA PROGRAMMING</t>
  </si>
  <si>
    <t>PERFORMING WELL NEED PRACTICE</t>
  </si>
  <si>
    <t>EVALUATING THE SHADING WELL</t>
  </si>
  <si>
    <t>HIGHLIGHTING TO CORE SHADOW AND CAST SHADOW</t>
  </si>
  <si>
    <t>INTERESTED IN ANIME DRAWINGS</t>
  </si>
  <si>
    <t>NEED TO FOCUS ON THE SHAPE OF THE FIGURE</t>
  </si>
  <si>
    <t>CREATING DIMENSIONAL DEPTH ON THE SURFACE</t>
  </si>
  <si>
    <t>INTERESTED IN READING NEED MOTIVATION</t>
  </si>
  <si>
    <t>INTERESTED IN READING FOLK TALKS</t>
  </si>
  <si>
    <t>NEUTRAL PARTCIPATION</t>
  </si>
  <si>
    <t>GOOD FOCUSED READING BUT HAVE TO IMPROVE GRAMMER</t>
  </si>
  <si>
    <t>PREFER COMIC BOOKS TO READ</t>
  </si>
  <si>
    <t>MD TALIB UR RAHMAN</t>
  </si>
  <si>
    <t>INTERESTED IN MATHS</t>
  </si>
  <si>
    <t>INTERESTED IN FOOTBALL</t>
  </si>
  <si>
    <t>BASIC SKILLS LIKE TYPING</t>
  </si>
  <si>
    <t>GOOD IN SHADING CAN IMPROVE</t>
  </si>
  <si>
    <t>CROSSHATCHING DIMENSIONAL EFFECTS</t>
  </si>
  <si>
    <t>SHOWING PROGRESS IN DRAWING</t>
  </si>
  <si>
    <t>GOOD IN READING NEED TO PAY ATTENTION</t>
  </si>
  <si>
    <t>SHOWING INTERESTED IN READING PANCHATANTRA</t>
  </si>
  <si>
    <t>NEED TO CONCENTRATE</t>
  </si>
  <si>
    <t>AVERAGE PARTICIPATION</t>
  </si>
  <si>
    <t>PREFER ALL KIND OF BOOKS TO READ</t>
  </si>
  <si>
    <t>K IRFAN</t>
  </si>
  <si>
    <t>INTERESTED IN SCIENCE IN  [ EXPERMINTES] TOPICS</t>
  </si>
  <si>
    <t>INTERESTED IN FOOTBALL&amp;CRICKET PREFER BATTING&amp;BOWLING TO PLAY</t>
  </si>
  <si>
    <t>INTERESTED IN TYPING,PLAYING GAMES IN COMPUTER</t>
  </si>
  <si>
    <t>INTERESTED IN PHOTO EDITING</t>
  </si>
  <si>
    <t>GOOD OBSERVATION SKILLS</t>
  </si>
  <si>
    <t>PROPORTION OF THE FIGURE IS ACCURATE AND NEAT</t>
  </si>
  <si>
    <t>SIMPLIFYING THE CONTOUR WELL</t>
  </si>
  <si>
    <t>GOOD IN DRAWING NEED TO FOCUIS ON SHADING</t>
  </si>
  <si>
    <t>TRYING TO SIMPLIFY THE FIGURE</t>
  </si>
  <si>
    <t>INTERESTED IN READING JATAKA TALES</t>
  </si>
  <si>
    <t>INTERESTED IN READING MY NAUGHTY SISTER STORY</t>
  </si>
  <si>
    <t>PREFER ANIMATION BOOKS TO READ EVEN WATCHS THROUGH PHONE</t>
  </si>
  <si>
    <t>SAI CHARAN</t>
  </si>
  <si>
    <t>INTERESTED IN PHYSICS ESPECIALLY IN CHEMICAL EFFECTS,&amp; ELECTRICITY</t>
  </si>
  <si>
    <t>INTERESTE IN FOOTBALL ,GOAL KEEPER IN FOOTBALL</t>
  </si>
  <si>
    <t>NEUTRAL PARTICIPATION</t>
  </si>
  <si>
    <t>SHOWING VARIATION IN SHADING LIKE DARK,MEDIUM</t>
  </si>
  <si>
    <t>ILLUMINATE THE SHADOWED AREA OF THE OBJECT</t>
  </si>
  <si>
    <t>UTILIZING THE LINES NEATLY</t>
  </si>
  <si>
    <t>DOING GOOD CAN DO BETTER</t>
  </si>
  <si>
    <t>DEVELOPING VOLUME AND DEPTH IN THE ARTWORK</t>
  </si>
  <si>
    <t>INTERESTED IN READING TENALI RAMA STORIES</t>
  </si>
  <si>
    <t>SHOWING INTERESTED IN READING MORAL STORIES</t>
  </si>
  <si>
    <t>INTERESTED IN MORAL STORIES</t>
  </si>
  <si>
    <t>GOOD IN READING WITH ENTHIOSM</t>
  </si>
  <si>
    <t>AVERAGE PARTCIPATION</t>
  </si>
  <si>
    <t>PREFER TO READ  MORAL STORIES RELATED KINDNESS HAVING LIBRARY MEMBERSHIP CARD READS BOOKS AT HOME ALSO</t>
  </si>
  <si>
    <t>K ABDUL MUQEET</t>
  </si>
  <si>
    <t xml:space="preserve">INTERESTED IN MATHS </t>
  </si>
  <si>
    <t>INTERESTED INCRICKET</t>
  </si>
  <si>
    <t>INTERESTED IN CRICKET,PARTICIPATED IN 100MTS RUNNING RACE WON 4TH PLACE</t>
  </si>
  <si>
    <t>INTERESTED IN TYPING</t>
  </si>
  <si>
    <t>USING CIRCULAR STROKES TO BUILD UP VALUES</t>
  </si>
  <si>
    <t>INTERESTED IN READING NEED TO CONCENTRATE</t>
  </si>
  <si>
    <t>INTERESTED IN PANCHATANTRA STORIES</t>
  </si>
  <si>
    <t>GOOD IN READING NEED TO PAY FOCUS</t>
  </si>
  <si>
    <t>H AFREEN FATHIMA</t>
  </si>
  <si>
    <t>INTERESTED IN BIOLOGY ESPECIALLY IN FORMING [AGRICULTURE]</t>
  </si>
  <si>
    <t>INTERESTED IN VOLLEYBALL</t>
  </si>
  <si>
    <t>INTERESTED IN VOLLEYBALL,SHUTTLE</t>
  </si>
  <si>
    <t>INTERESTED IN WORD,TYPING</t>
  </si>
  <si>
    <t>INTERESTED IN KRITA EDITING</t>
  </si>
  <si>
    <t>GOOD IN SMOOTH OUT PENCIL STROKES FOR SEAMLESS EFFECTS</t>
  </si>
  <si>
    <t>INTERESTED IN FAIRY TALES</t>
  </si>
  <si>
    <t>NINTERESTED IN FAIRY TAILES BOOK</t>
  </si>
  <si>
    <t>READING WITH INTEREST GOOD OBSERVATION</t>
  </si>
  <si>
    <t xml:space="preserve">PREFER TO READ COMIC BOOKS </t>
  </si>
  <si>
    <t>M ARISHA KHAN</t>
  </si>
  <si>
    <t>GOOD IN BIOLOGY</t>
  </si>
  <si>
    <t>INTERESTED IN BADMINTON,KHABADI,KHOKHO</t>
  </si>
  <si>
    <t>GOOD IN VISUAL COMPO NENTS</t>
  </si>
  <si>
    <t>LAYERING HATCH MARKS AT DIFFERENT ANGLES</t>
  </si>
  <si>
    <t>AVERAGE PERFORMANCE</t>
  </si>
  <si>
    <t>GOOD IN SMOOTHOUT PENCIL STROKES FOR A SEAMLESS EFFECTS</t>
  </si>
  <si>
    <t>GOOD IN READING</t>
  </si>
  <si>
    <t>GOOD IN READING, GOOD GRAMMER VERY ACTIVE PARTCIPATION</t>
  </si>
  <si>
    <t>PREFER TO READ HARRYPOTTER SERIES HAVING A HABIT OF READING BEDTIME STORIES</t>
  </si>
  <si>
    <t>K THANU SRI</t>
  </si>
  <si>
    <t>GOOD IN PHYSICS</t>
  </si>
  <si>
    <t>INTERESTED IN KHABADI,THROWBALL</t>
  </si>
  <si>
    <t>ABSENT</t>
  </si>
  <si>
    <t>NEED TO REFINE THE FIGURE</t>
  </si>
  <si>
    <t>DEVELOPING VOLUME AND DEPTH IN THE WORK</t>
  </si>
  <si>
    <t>GOOD IN VISUAL COMPONENTS</t>
  </si>
  <si>
    <t>SHOWS ATTENTION IN DETALING THE FIGURE</t>
  </si>
  <si>
    <t>NEED TO PAY ATTENTION CAN IMPROVE</t>
  </si>
  <si>
    <t>INTERESTED IN THE SELFISH GAINT STORY</t>
  </si>
  <si>
    <t>PREFER TO READ HORROR STORIES</t>
  </si>
  <si>
    <t>NUMERA MISHKATH</t>
  </si>
  <si>
    <t>INTERESTED IN BIOLOGY ESPECIALLY IN PLANT PRODUCTION</t>
  </si>
  <si>
    <t>INTERESTED IN KHO-KHO</t>
  </si>
  <si>
    <t>INTERESTED IN BADMINTON ,THROWBALL</t>
  </si>
  <si>
    <t>INTERESTED IN EDITING, TYPING IN COMPUTER</t>
  </si>
  <si>
    <t>KNOWS PHOTO EDITING ,GOOD IN KRITA EDITING PRACTICING AT HOME WITH BROTHER HELP</t>
  </si>
  <si>
    <t>NEED TO FOCUS ON VISUAL COMPONENTS</t>
  </si>
  <si>
    <t>LAYERING HATCH MARKS AT DIFFERENT ANGLES TO CREAT DARKER AND MORE COMPLEX TONE</t>
  </si>
  <si>
    <t>GOOD READING ABILITY</t>
  </si>
  <si>
    <t>INTERESTED IN HORROR STORIES BOOKS</t>
  </si>
  <si>
    <t>GOOD IN READING WITH INTEREST, ENJOYS WHILE READING</t>
  </si>
  <si>
    <t xml:space="preserve">INTERESTED IN READING PERSONALITY DEVELOPING BOOKS HAVING A HABIT OF READING BOOKS AT HOME </t>
  </si>
  <si>
    <t>N SAI SHANMUKHI</t>
  </si>
  <si>
    <t>INTERESTED IN MATHS, PHYSICS ESPECIALLY IN SQUARE ROOTS,&amp; VELACITY</t>
  </si>
  <si>
    <t>INTERESTED IN VOLLEY BALL</t>
  </si>
  <si>
    <t>INTERESTED IN BADMINTON ,KHOKHO</t>
  </si>
  <si>
    <t>INTERESTED IN TYPING, EDITING</t>
  </si>
  <si>
    <t>KNOWS VIDEO&amp;PHOTO EDITING GOOD AT KRITA EDITING</t>
  </si>
  <si>
    <t>CREATING DARKER AND MORE COMPLEX TONE</t>
  </si>
  <si>
    <t>INTERESTED IN NATURE PAINTINGS</t>
  </si>
  <si>
    <t>GOOD VOCABULARY</t>
  </si>
  <si>
    <t>INTERESTED IN HUNTING, HORROR BOOKS</t>
  </si>
  <si>
    <t>NEAUTRAL PARTCIPATION</t>
  </si>
  <si>
    <t>PREFER TO READ DEVIOTIONAL BOOKS AS WELL AS HORROR BOOKS</t>
  </si>
  <si>
    <t>KUCHIPUDI DANCER GIVEN STAGE PERFORMANCES IN PUNE,PUNJAB</t>
  </si>
  <si>
    <t>S ZAINAB NISHATH</t>
  </si>
  <si>
    <t>INTERESTED IN BIOLOGY, SOCIAL ESPECIALLY IN PLANTS TOPIC AND SECULARISM</t>
  </si>
  <si>
    <t>INTERESTED IN THROWBALL</t>
  </si>
  <si>
    <t>INTERESTED IN KHOKHO,THROWBALL,KHABADI</t>
  </si>
  <si>
    <t xml:space="preserve">NEED TO REDUCE THE PRESSURE ON THE PENCIL </t>
  </si>
  <si>
    <t>INTERESTED IN READING MIND BLOWING THRILLERS</t>
  </si>
  <si>
    <t>INTERESTED IN MORAL STORIES BOOKS</t>
  </si>
  <si>
    <t>GOOD IN READING WITH OBSERVATION</t>
  </si>
  <si>
    <t>K YESHWITHA</t>
  </si>
  <si>
    <t>INTERESTED IN BIOLOGY ESPECIALLY IN CROP PRODUCTION</t>
  </si>
  <si>
    <t>INTERESTED IN EDITING</t>
  </si>
  <si>
    <t>UTILIZING THE LINES WELL</t>
  </si>
  <si>
    <t>CREATING SMOOTH SOFT EDGES</t>
  </si>
  <si>
    <t>NEED TO FOCUS ON VISUAL</t>
  </si>
  <si>
    <t>DRAWING VERY REALISTIC ,SIMPLIFYING THE SHAPE VERY WELL</t>
  </si>
  <si>
    <t>SHOWING INTEREST</t>
  </si>
  <si>
    <t>INTERESTED IN READING JATAKA STORIES</t>
  </si>
  <si>
    <t>INTERESTED IN HORROR BOOKS</t>
  </si>
  <si>
    <t>GOOD IN READING WITH INTEREST</t>
  </si>
  <si>
    <t>PREFER TO READ COMIC BOOKS LIKE TENALI RAMAKRISHNA</t>
  </si>
  <si>
    <t>A DIVYA</t>
  </si>
  <si>
    <t>INTERESTED IN BIOLOGY, HINDI ESPECIALLY IN MICRO ORGANISM</t>
  </si>
  <si>
    <t>EXCELLENT IN CHESS</t>
  </si>
  <si>
    <t>INTERESTED IN KHABADI</t>
  </si>
  <si>
    <t xml:space="preserve">DRAWING WELL NEAT FINISHING </t>
  </si>
  <si>
    <t>GOOD IN CREATING THE  DIMENSIONAL DEPTH ON THE SURFACE</t>
  </si>
  <si>
    <t>SHOWING WILLINGNESS IN DRAWING</t>
  </si>
  <si>
    <t>GOOD IN READING NEED TO IMPROVE MORE</t>
  </si>
  <si>
    <t>GOOD IN READING WITH CONCENTRATELY FOCUSED</t>
  </si>
  <si>
    <t>INTERESTED IN DOING PAPERCRAFT</t>
  </si>
  <si>
    <t>S MD MUZAMIL</t>
  </si>
  <si>
    <t>GOOD READING WITH JOYFULL</t>
  </si>
  <si>
    <t>PREFER TO READ MORAL STORIES</t>
  </si>
  <si>
    <t>K RASHEED</t>
  </si>
  <si>
    <t xml:space="preserve"> INTERESTED IN FOOTBALL,BADMINTON,CRICKET LIKES TO PLAY FEILDING&amp;BOWLING</t>
  </si>
  <si>
    <t>GOOD IN KRITA EDITING</t>
  </si>
  <si>
    <t>KODANDA PANI</t>
  </si>
  <si>
    <t>GOOD IN VOLLEYBALL,FOOTBALL,CRICKET,LIKE TO PLAY BATTING</t>
  </si>
  <si>
    <t>GOOD OBSERVATION SMOOTH FINISHING</t>
  </si>
  <si>
    <t>USING VARIOUS TECHNIGUES LIKE CROSS HATCHING DIMENSIONAL EFFECTS</t>
  </si>
  <si>
    <t>GOOD IN READING NEED TO CONCENTRATE</t>
  </si>
  <si>
    <t>DIVYA AJWAN</t>
  </si>
  <si>
    <t>INTERESTED  IN KHOKHO,KHABADI</t>
  </si>
  <si>
    <t>UTILIZING THE LINES NEATLY PERFORMING WELL</t>
  </si>
  <si>
    <t>PREFER MORAL STORIES TO READ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</si>
</sst>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1.0"/>
      <color theme="0"/>
      <name val="Aptos Narrow"/>
    </font>
    <font/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Consolas"/>
    </font>
  </fonts>
  <fills count="16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78206E"/>
        <bgColor rgb="FF78206E"/>
      </patternFill>
    </fill>
    <fill>
      <patternFill patternType="solid">
        <fgColor rgb="FF7030A0"/>
        <bgColor rgb="FF7030A0"/>
      </patternFill>
    </fill>
    <fill>
      <patternFill patternType="solid">
        <fgColor theme="9"/>
        <bgColor theme="9"/>
      </patternFill>
    </fill>
    <fill>
      <patternFill patternType="solid">
        <fgColor rgb="FFC1E4F5"/>
        <bgColor rgb="FFC1E4F5"/>
      </patternFill>
    </fill>
    <fill>
      <patternFill patternType="solid">
        <fgColor rgb="FF9966FF"/>
        <bgColor rgb="FF9966FF"/>
      </patternFill>
    </fill>
    <fill>
      <patternFill patternType="solid">
        <fgColor rgb="FFD9F2D0"/>
        <bgColor rgb="FFD9F2D0"/>
      </patternFill>
    </fill>
    <fill>
      <patternFill patternType="solid">
        <fgColor rgb="FFC1F0C8"/>
        <bgColor rgb="FFC1F0C8"/>
      </patternFill>
    </fill>
    <fill>
      <patternFill patternType="solid">
        <fgColor rgb="FFF1A983"/>
        <bgColor rgb="FFF1A983"/>
      </patternFill>
    </fill>
    <fill>
      <patternFill patternType="solid">
        <fgColor rgb="FF47D45A"/>
        <bgColor rgb="FF47D45A"/>
      </patternFill>
    </fill>
    <fill>
      <patternFill patternType="solid">
        <fgColor rgb="FF95DCF7"/>
        <bgColor rgb="FF95DCF7"/>
      </patternFill>
    </fill>
    <fill>
      <patternFill patternType="solid">
        <fgColor rgb="FFFFC000"/>
        <bgColor rgb="FFFFC000"/>
      </patternFill>
    </fill>
    <fill>
      <patternFill patternType="solid">
        <fgColor rgb="FF84E291"/>
        <bgColor rgb="FF84E291"/>
      </patternFill>
    </fill>
    <fill>
      <patternFill patternType="solid">
        <fgColor rgb="FFB3E5A1"/>
        <bgColor rgb="FFB3E5A1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Border="1" applyFill="1" applyFont="1"/>
    <xf borderId="2" fillId="3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2" fillId="3" fontId="1" numFmtId="0" xfId="0" applyAlignment="1" applyBorder="1" applyFont="1">
      <alignment horizontal="center" shrinkToFit="0" wrapText="1"/>
    </xf>
    <xf borderId="2" fillId="4" fontId="1" numFmtId="0" xfId="0" applyAlignment="1" applyBorder="1" applyFill="1" applyFont="1">
      <alignment horizontal="center" vertical="center"/>
    </xf>
    <xf borderId="2" fillId="5" fontId="1" numFmtId="0" xfId="0" applyAlignment="1" applyBorder="1" applyFill="1" applyFont="1">
      <alignment horizontal="center"/>
    </xf>
    <xf borderId="1" fillId="6" fontId="3" numFmtId="0" xfId="0" applyAlignment="1" applyBorder="1" applyFill="1" applyFont="1">
      <alignment horizontal="center" vertical="center"/>
    </xf>
    <xf borderId="1" fillId="6" fontId="3" numFmtId="0" xfId="0" applyAlignment="1" applyBorder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vertical="center"/>
    </xf>
    <xf borderId="1" fillId="7" fontId="1" numFmtId="0" xfId="0" applyAlignment="1" applyBorder="1" applyFont="1">
      <alignment horizontal="center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4" fillId="9" fontId="3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/>
    </xf>
    <xf borderId="0" fillId="0" fontId="4" numFmtId="0" xfId="0" applyAlignment="1" applyFont="1">
      <alignment horizontal="left" shrinkToFit="0" vertical="top" wrapText="1"/>
    </xf>
    <xf borderId="1" fillId="0" fontId="4" numFmtId="0" xfId="0" applyBorder="1" applyFont="1"/>
    <xf borderId="1" fillId="10" fontId="4" numFmtId="0" xfId="0" applyAlignment="1" applyBorder="1" applyFill="1" applyFont="1">
      <alignment horizontal="center"/>
    </xf>
    <xf borderId="1" fillId="0" fontId="4" numFmtId="0" xfId="0" applyAlignment="1" applyBorder="1" applyFont="1">
      <alignment shrinkToFit="0" wrapText="1"/>
    </xf>
    <xf borderId="1" fillId="0" fontId="5" numFmtId="0" xfId="0" applyAlignment="1" applyBorder="1" applyFont="1">
      <alignment horizontal="left" vertical="center"/>
    </xf>
    <xf borderId="5" fillId="0" fontId="2" numFmtId="0" xfId="0" applyBorder="1" applyFont="1"/>
    <xf borderId="1" fillId="0" fontId="4" numFmtId="0" xfId="0" applyAlignment="1" applyBorder="1" applyFont="1">
      <alignment horizontal="left" shrinkToFit="0" vertical="top" wrapText="1"/>
    </xf>
    <xf borderId="1" fillId="11" fontId="4" numFmtId="0" xfId="0" applyBorder="1" applyFill="1" applyFont="1"/>
    <xf borderId="1" fillId="12" fontId="4" numFmtId="0" xfId="0" applyBorder="1" applyFill="1" applyFont="1"/>
    <xf borderId="6" fillId="0" fontId="2" numFmtId="0" xfId="0" applyBorder="1" applyFont="1"/>
    <xf borderId="1" fillId="13" fontId="4" numFmtId="0" xfId="0" applyBorder="1" applyFill="1" applyFont="1"/>
    <xf borderId="1" fillId="14" fontId="4" numFmtId="0" xfId="0" applyBorder="1" applyFill="1" applyFont="1"/>
    <xf borderId="5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left" shrinkToFit="0" vertical="top" wrapText="1"/>
    </xf>
    <xf borderId="5" fillId="0" fontId="4" numFmtId="0" xfId="0" applyBorder="1" applyFont="1"/>
    <xf borderId="1" fillId="15" fontId="4" numFmtId="0" xfId="0" applyBorder="1" applyFill="1" applyFont="1"/>
    <xf borderId="7" fillId="9" fontId="4" numFmtId="0" xfId="0" applyAlignment="1" applyBorder="1" applyFont="1">
      <alignment horizontal="center"/>
    </xf>
    <xf borderId="2" fillId="0" fontId="4" numFmtId="0" xfId="0" applyBorder="1" applyFont="1"/>
    <xf borderId="0" fillId="0" fontId="4" numFmtId="0" xfId="0" applyAlignment="1" applyFont="1">
      <alignment horizontal="center"/>
    </xf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63"/>
    <col customWidth="1" min="2" max="2" width="12.88"/>
    <col customWidth="1" min="3" max="3" width="8.63"/>
    <col customWidth="1" min="4" max="4" width="35.13"/>
    <col customWidth="1" min="5" max="5" width="8.63"/>
    <col customWidth="1" min="6" max="6" width="43.13"/>
    <col customWidth="1" min="7" max="7" width="9.13"/>
    <col customWidth="1" min="8" max="8" width="62.0"/>
    <col customWidth="1" min="9" max="9" width="10.13"/>
    <col customWidth="1" min="10" max="10" width="71.0"/>
    <col customWidth="1" min="11" max="11" width="8.63"/>
    <col customWidth="1" min="12" max="12" width="56.5"/>
    <col customWidth="1" min="13" max="13" width="8.63"/>
    <col customWidth="1" min="14" max="14" width="67.5"/>
    <col customWidth="1" min="15" max="15" width="8.63"/>
    <col customWidth="1" min="16" max="16" width="103.38"/>
    <col customWidth="1" min="17" max="61" width="8.63"/>
    <col customWidth="1" min="62" max="62" width="3.75"/>
    <col customWidth="1" min="63" max="63" width="17.63"/>
    <col customWidth="1" min="64" max="64" width="80.88"/>
    <col customWidth="1" min="65" max="70" width="8.63"/>
  </cols>
  <sheetData>
    <row r="1" ht="14.25" customHeight="1">
      <c r="A1" s="1" t="s">
        <v>0</v>
      </c>
      <c r="B1" s="2"/>
      <c r="C1" s="3" t="s">
        <v>1</v>
      </c>
      <c r="D1" s="4"/>
      <c r="E1" s="5" t="s">
        <v>2</v>
      </c>
      <c r="F1" s="4"/>
      <c r="G1" s="5" t="s">
        <v>3</v>
      </c>
      <c r="H1" s="4"/>
      <c r="I1" s="5" t="s">
        <v>4</v>
      </c>
      <c r="J1" s="4"/>
      <c r="K1" s="5" t="s">
        <v>5</v>
      </c>
      <c r="L1" s="4"/>
      <c r="M1" s="5" t="s">
        <v>6</v>
      </c>
      <c r="N1" s="4"/>
      <c r="O1" s="5" t="s">
        <v>7</v>
      </c>
      <c r="P1" s="4"/>
      <c r="Q1" s="5" t="s">
        <v>8</v>
      </c>
      <c r="R1" s="4"/>
      <c r="S1" s="5" t="s">
        <v>9</v>
      </c>
      <c r="T1" s="4"/>
      <c r="U1" s="5" t="s">
        <v>10</v>
      </c>
      <c r="V1" s="4"/>
      <c r="W1" s="5" t="s">
        <v>11</v>
      </c>
      <c r="X1" s="4"/>
      <c r="Y1" s="5" t="s">
        <v>12</v>
      </c>
      <c r="Z1" s="4"/>
      <c r="AA1" s="5" t="s">
        <v>13</v>
      </c>
      <c r="AB1" s="4"/>
      <c r="AC1" s="5" t="s">
        <v>14</v>
      </c>
      <c r="AD1" s="4"/>
      <c r="AE1" s="5" t="s">
        <v>15</v>
      </c>
      <c r="AF1" s="4"/>
      <c r="AG1" s="5" t="s">
        <v>16</v>
      </c>
      <c r="AH1" s="4"/>
      <c r="AI1" s="5" t="s">
        <v>17</v>
      </c>
      <c r="AJ1" s="4"/>
      <c r="AK1" s="5" t="s">
        <v>18</v>
      </c>
      <c r="AL1" s="4"/>
      <c r="AM1" s="5" t="s">
        <v>19</v>
      </c>
      <c r="AN1" s="4"/>
      <c r="AO1" s="5" t="s">
        <v>20</v>
      </c>
      <c r="AP1" s="4"/>
      <c r="AQ1" s="5" t="s">
        <v>21</v>
      </c>
      <c r="AR1" s="4"/>
      <c r="AS1" s="5" t="s">
        <v>22</v>
      </c>
      <c r="AT1" s="4"/>
      <c r="AU1" s="5" t="s">
        <v>23</v>
      </c>
      <c r="AV1" s="4"/>
      <c r="AW1" s="5" t="s">
        <v>24</v>
      </c>
      <c r="AX1" s="4"/>
      <c r="AY1" s="5" t="s">
        <v>25</v>
      </c>
      <c r="AZ1" s="4"/>
      <c r="BA1" s="5" t="s">
        <v>26</v>
      </c>
      <c r="BB1" s="4"/>
      <c r="BC1" s="5" t="s">
        <v>27</v>
      </c>
      <c r="BD1" s="4"/>
      <c r="BE1" s="5" t="s">
        <v>28</v>
      </c>
      <c r="BF1" s="4"/>
      <c r="BG1" s="5" t="s">
        <v>29</v>
      </c>
      <c r="BH1" s="4"/>
      <c r="BI1" s="5" t="s">
        <v>30</v>
      </c>
      <c r="BJ1" s="4"/>
      <c r="BK1" s="6" t="s">
        <v>31</v>
      </c>
      <c r="BL1" s="4"/>
      <c r="BM1" s="7" t="s">
        <v>32</v>
      </c>
      <c r="BN1" s="4"/>
      <c r="BO1" s="7" t="s">
        <v>33</v>
      </c>
      <c r="BP1" s="4"/>
      <c r="BQ1" s="7" t="s">
        <v>34</v>
      </c>
      <c r="BR1" s="4"/>
    </row>
    <row r="2" ht="14.25" customHeight="1">
      <c r="A2" s="8" t="s">
        <v>35</v>
      </c>
      <c r="B2" s="8" t="s">
        <v>36</v>
      </c>
      <c r="C2" s="9" t="s">
        <v>37</v>
      </c>
      <c r="D2" s="9" t="s">
        <v>38</v>
      </c>
      <c r="E2" s="9" t="s">
        <v>37</v>
      </c>
      <c r="F2" s="9" t="s">
        <v>38</v>
      </c>
      <c r="G2" s="9" t="s">
        <v>37</v>
      </c>
      <c r="H2" s="9" t="s">
        <v>38</v>
      </c>
      <c r="I2" s="9" t="s">
        <v>37</v>
      </c>
      <c r="J2" s="9" t="s">
        <v>38</v>
      </c>
      <c r="K2" s="9" t="s">
        <v>37</v>
      </c>
      <c r="L2" s="9" t="s">
        <v>38</v>
      </c>
      <c r="M2" s="9" t="s">
        <v>37</v>
      </c>
      <c r="N2" s="9" t="s">
        <v>38</v>
      </c>
      <c r="O2" s="9" t="s">
        <v>37</v>
      </c>
      <c r="P2" s="9" t="s">
        <v>38</v>
      </c>
      <c r="Q2" s="9" t="s">
        <v>37</v>
      </c>
      <c r="R2" s="9" t="s">
        <v>38</v>
      </c>
      <c r="S2" s="9" t="s">
        <v>37</v>
      </c>
      <c r="T2" s="9" t="s">
        <v>38</v>
      </c>
      <c r="U2" s="9" t="s">
        <v>37</v>
      </c>
      <c r="V2" s="9" t="s">
        <v>38</v>
      </c>
      <c r="W2" s="9" t="s">
        <v>37</v>
      </c>
      <c r="X2" s="9" t="s">
        <v>38</v>
      </c>
      <c r="Y2" s="9" t="s">
        <v>37</v>
      </c>
      <c r="Z2" s="9" t="s">
        <v>38</v>
      </c>
      <c r="AA2" s="9" t="s">
        <v>37</v>
      </c>
      <c r="AB2" s="9" t="s">
        <v>38</v>
      </c>
      <c r="AC2" s="9" t="s">
        <v>37</v>
      </c>
      <c r="AD2" s="9" t="s">
        <v>38</v>
      </c>
      <c r="AE2" s="9" t="s">
        <v>37</v>
      </c>
      <c r="AF2" s="9" t="s">
        <v>38</v>
      </c>
      <c r="AG2" s="9" t="s">
        <v>37</v>
      </c>
      <c r="AH2" s="9" t="s">
        <v>38</v>
      </c>
      <c r="AI2" s="9" t="s">
        <v>37</v>
      </c>
      <c r="AJ2" s="9" t="s">
        <v>38</v>
      </c>
      <c r="AK2" s="9" t="s">
        <v>37</v>
      </c>
      <c r="AL2" s="9" t="s">
        <v>38</v>
      </c>
      <c r="AM2" s="9" t="s">
        <v>37</v>
      </c>
      <c r="AN2" s="9" t="s">
        <v>38</v>
      </c>
      <c r="AO2" s="9" t="s">
        <v>37</v>
      </c>
      <c r="AP2" s="9" t="s">
        <v>38</v>
      </c>
      <c r="AQ2" s="9" t="s">
        <v>37</v>
      </c>
      <c r="AR2" s="9" t="s">
        <v>38</v>
      </c>
      <c r="AS2" s="9" t="s">
        <v>37</v>
      </c>
      <c r="AT2" s="9" t="s">
        <v>38</v>
      </c>
      <c r="AU2" s="9" t="s">
        <v>37</v>
      </c>
      <c r="AV2" s="9" t="s">
        <v>38</v>
      </c>
      <c r="AW2" s="9" t="s">
        <v>37</v>
      </c>
      <c r="AX2" s="9" t="s">
        <v>38</v>
      </c>
      <c r="AY2" s="9" t="s">
        <v>37</v>
      </c>
      <c r="AZ2" s="9" t="s">
        <v>38</v>
      </c>
      <c r="BA2" s="9" t="s">
        <v>37</v>
      </c>
      <c r="BB2" s="9" t="s">
        <v>38</v>
      </c>
      <c r="BC2" s="9" t="s">
        <v>37</v>
      </c>
      <c r="BD2" s="9" t="s">
        <v>38</v>
      </c>
      <c r="BE2" s="9" t="s">
        <v>37</v>
      </c>
      <c r="BF2" s="9" t="s">
        <v>38</v>
      </c>
      <c r="BG2" s="9" t="s">
        <v>37</v>
      </c>
      <c r="BH2" s="9" t="s">
        <v>38</v>
      </c>
      <c r="BI2" s="9" t="s">
        <v>37</v>
      </c>
      <c r="BJ2" s="9" t="s">
        <v>38</v>
      </c>
      <c r="BK2" s="10" t="s">
        <v>39</v>
      </c>
      <c r="BL2" s="11" t="s">
        <v>40</v>
      </c>
      <c r="BM2" s="12" t="s">
        <v>37</v>
      </c>
      <c r="BN2" s="12" t="s">
        <v>38</v>
      </c>
      <c r="BO2" s="12" t="s">
        <v>37</v>
      </c>
      <c r="BP2" s="12" t="s">
        <v>38</v>
      </c>
      <c r="BQ2" s="12" t="s">
        <v>37</v>
      </c>
      <c r="BR2" s="12" t="s">
        <v>38</v>
      </c>
    </row>
    <row r="3" ht="14.25" customHeight="1">
      <c r="A3" s="13" t="s">
        <v>41</v>
      </c>
      <c r="B3" s="14" t="s">
        <v>42</v>
      </c>
      <c r="C3" s="14"/>
      <c r="D3" s="15"/>
      <c r="E3" s="14"/>
      <c r="F3" s="16"/>
      <c r="G3" s="14"/>
      <c r="H3" s="16"/>
      <c r="I3" s="17">
        <v>79.0</v>
      </c>
      <c r="J3" s="16" t="s">
        <v>43</v>
      </c>
      <c r="K3" s="14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4">
        <f t="shared" ref="BK3:BK124" si="1">IFERROR(AVERAGEIF(C3:BI3,"&lt;&gt;nill"), "")</f>
        <v>79</v>
      </c>
      <c r="BL3" s="18" t="str">
        <f t="array" ref="BL3">TEXTJOIN(" ", TRUE, _xlws.FILTER(C3:BJ3, MOD(COLUMN(C3:BJ3)-COLUMN(BN3),2)=0))</f>
        <v>#NAME?</v>
      </c>
      <c r="BM3" s="14"/>
      <c r="BN3" s="19"/>
      <c r="BO3" s="14"/>
      <c r="BP3" s="19"/>
      <c r="BQ3" s="14"/>
      <c r="BR3" s="19"/>
    </row>
    <row r="4" ht="14.25" customHeight="1">
      <c r="A4" s="20"/>
      <c r="B4" s="14" t="s">
        <v>44</v>
      </c>
      <c r="C4" s="14">
        <v>50.0</v>
      </c>
      <c r="D4" s="21" t="s">
        <v>45</v>
      </c>
      <c r="E4" s="17">
        <v>65.0</v>
      </c>
      <c r="F4" s="16" t="s">
        <v>46</v>
      </c>
      <c r="G4" s="14">
        <v>75.0</v>
      </c>
      <c r="H4" s="16" t="s">
        <v>47</v>
      </c>
      <c r="I4" s="14">
        <v>75.0</v>
      </c>
      <c r="J4" s="16" t="s">
        <v>48</v>
      </c>
      <c r="K4" s="14">
        <v>75.0</v>
      </c>
      <c r="L4" s="16" t="s">
        <v>49</v>
      </c>
      <c r="M4" s="14">
        <v>75.0</v>
      </c>
      <c r="N4" s="16" t="s">
        <v>49</v>
      </c>
      <c r="O4" s="22">
        <v>85.0</v>
      </c>
      <c r="P4" s="16" t="s">
        <v>50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4">
        <f t="shared" si="1"/>
        <v>71.42857143</v>
      </c>
      <c r="BL4" s="18" t="str">
        <f t="array" ref="BL4">TEXTJOIN(" ", TRUE, _xlws.FILTER(C4:BJ4, MOD(COLUMN(C4:BJ4)-COLUMN(BN4),2)=0))</f>
        <v>#NAME?</v>
      </c>
      <c r="BM4" s="14">
        <v>50.0</v>
      </c>
      <c r="BN4" s="19"/>
      <c r="BO4" s="14"/>
      <c r="BP4" s="19"/>
      <c r="BQ4" s="14"/>
      <c r="BR4" s="19"/>
    </row>
    <row r="5" ht="14.25" customHeight="1">
      <c r="A5" s="20"/>
      <c r="B5" s="14" t="s">
        <v>51</v>
      </c>
      <c r="C5" s="14">
        <v>50.0</v>
      </c>
      <c r="D5" s="21" t="s">
        <v>52</v>
      </c>
      <c r="E5" s="14">
        <v>50.0</v>
      </c>
      <c r="F5" s="16" t="s">
        <v>53</v>
      </c>
      <c r="G5" s="14">
        <v>75.0</v>
      </c>
      <c r="H5" s="16" t="s">
        <v>54</v>
      </c>
      <c r="I5" s="14">
        <v>75.0</v>
      </c>
      <c r="J5" s="16" t="s">
        <v>55</v>
      </c>
      <c r="K5" s="14">
        <v>75.0</v>
      </c>
      <c r="L5" s="16" t="s">
        <v>56</v>
      </c>
      <c r="M5" s="14">
        <v>75.0</v>
      </c>
      <c r="N5" s="16" t="s">
        <v>56</v>
      </c>
      <c r="O5" s="23">
        <v>90.0</v>
      </c>
      <c r="P5" s="16" t="s">
        <v>57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4">
        <f t="shared" si="1"/>
        <v>70</v>
      </c>
      <c r="BL5" s="18" t="str">
        <f t="array" ref="BL5">TEXTJOIN(" ", TRUE, _xlws.FILTER(C5:BJ5, MOD(COLUMN(C5:BJ5)-COLUMN(BN5),2)=0))</f>
        <v>#NAME?</v>
      </c>
      <c r="BM5" s="14"/>
      <c r="BN5" s="19"/>
      <c r="BO5" s="14"/>
      <c r="BP5" s="19"/>
      <c r="BQ5" s="14"/>
      <c r="BR5" s="19"/>
    </row>
    <row r="6" ht="14.25" customHeight="1">
      <c r="A6" s="20"/>
      <c r="B6" s="14" t="s">
        <v>58</v>
      </c>
      <c r="C6" s="14" t="s">
        <v>59</v>
      </c>
      <c r="D6" s="21" t="s">
        <v>59</v>
      </c>
      <c r="E6" s="14">
        <v>50.0</v>
      </c>
      <c r="F6" s="16" t="s">
        <v>60</v>
      </c>
      <c r="G6" s="17">
        <v>65.0</v>
      </c>
      <c r="H6" s="16" t="s">
        <v>61</v>
      </c>
      <c r="I6" s="14"/>
      <c r="J6" s="16"/>
      <c r="K6" s="17">
        <v>65.0</v>
      </c>
      <c r="L6" s="16" t="s">
        <v>62</v>
      </c>
      <c r="M6" s="17">
        <v>65.0</v>
      </c>
      <c r="N6" s="16" t="s">
        <v>63</v>
      </c>
      <c r="O6" s="23">
        <v>90.0</v>
      </c>
      <c r="P6" s="16" t="s">
        <v>64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4">
        <f t="shared" si="1"/>
        <v>67</v>
      </c>
      <c r="BL6" s="18" t="str">
        <f t="array" ref="BL6">TEXTJOIN(" ", TRUE, _xlws.FILTER(C6:BJ6, MOD(COLUMN(C6:BJ6)-COLUMN(BN6),2)=0))</f>
        <v>#NAME?</v>
      </c>
      <c r="BM6" s="14"/>
      <c r="BN6" s="19"/>
      <c r="BO6" s="14"/>
      <c r="BP6" s="19"/>
      <c r="BQ6" s="14"/>
      <c r="BR6" s="19"/>
    </row>
    <row r="7" ht="14.25" customHeight="1">
      <c r="A7" s="20"/>
      <c r="B7" s="14" t="s">
        <v>65</v>
      </c>
      <c r="C7" s="14"/>
      <c r="D7" s="21" t="s">
        <v>66</v>
      </c>
      <c r="E7" s="14">
        <v>50.0</v>
      </c>
      <c r="F7" s="16" t="s">
        <v>67</v>
      </c>
      <c r="G7" s="14">
        <v>50.0</v>
      </c>
      <c r="H7" s="16" t="s">
        <v>68</v>
      </c>
      <c r="I7" s="14"/>
      <c r="J7" s="16"/>
      <c r="K7" s="14">
        <v>50.0</v>
      </c>
      <c r="L7" s="16" t="s">
        <v>69</v>
      </c>
      <c r="M7" s="16">
        <v>25.0</v>
      </c>
      <c r="N7" s="16" t="s">
        <v>70</v>
      </c>
      <c r="O7" s="22">
        <v>85.0</v>
      </c>
      <c r="P7" s="16" t="s">
        <v>71</v>
      </c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4">
        <f t="shared" si="1"/>
        <v>52</v>
      </c>
      <c r="BL7" s="18" t="str">
        <f t="array" ref="BL7">TEXTJOIN(" ", TRUE, _xlws.FILTER(C7:BJ7, MOD(COLUMN(C7:BJ7)-COLUMN(BN7),2)=0))</f>
        <v>#NAME?</v>
      </c>
      <c r="BM7" s="14"/>
      <c r="BN7" s="19"/>
      <c r="BO7" s="14"/>
      <c r="BP7" s="19"/>
      <c r="BQ7" s="14"/>
      <c r="BR7" s="19"/>
    </row>
    <row r="8" ht="14.25" customHeight="1">
      <c r="A8" s="24"/>
      <c r="B8" s="14" t="s">
        <v>72</v>
      </c>
      <c r="C8" s="14"/>
      <c r="D8" s="15"/>
      <c r="E8" s="14"/>
      <c r="F8" s="16"/>
      <c r="G8" s="14"/>
      <c r="H8" s="16"/>
      <c r="I8" s="14"/>
      <c r="J8" s="16"/>
      <c r="K8" s="14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4" t="str">
        <f t="shared" si="1"/>
        <v/>
      </c>
      <c r="BL8" s="18" t="str">
        <f t="array" ref="BL8">TEXTJOIN(" ", TRUE, _xlws.FILTER(C8:BJ8, MOD(COLUMN(C8:BJ8)-COLUMN(BN8),2)=0))</f>
        <v>#NAME?</v>
      </c>
      <c r="BM8" s="14"/>
      <c r="BN8" s="16"/>
      <c r="BO8" s="14"/>
      <c r="BP8" s="16"/>
      <c r="BQ8" s="14"/>
      <c r="BR8" s="16"/>
    </row>
    <row r="9" ht="14.25" customHeight="1">
      <c r="A9" s="13" t="s">
        <v>73</v>
      </c>
      <c r="B9" s="14" t="s">
        <v>42</v>
      </c>
      <c r="C9" s="14"/>
      <c r="D9" s="21"/>
      <c r="E9" s="14"/>
      <c r="F9" s="16"/>
      <c r="G9" s="14"/>
      <c r="H9" s="16"/>
      <c r="I9" s="17">
        <v>82.0</v>
      </c>
      <c r="J9" s="16" t="s">
        <v>74</v>
      </c>
      <c r="K9" s="14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4">
        <f t="shared" si="1"/>
        <v>82</v>
      </c>
      <c r="BL9" s="18" t="str">
        <f t="array" ref="BL9">TEXTJOIN(" ", TRUE, _xlws.FILTER(C9:BJ9, MOD(COLUMN(C9:BJ9)-COLUMN(BN9),2)=0))</f>
        <v>#NAME?</v>
      </c>
      <c r="BM9" s="14"/>
      <c r="BN9" s="16"/>
      <c r="BO9" s="14"/>
      <c r="BP9" s="16"/>
      <c r="BQ9" s="14"/>
      <c r="BR9" s="16"/>
    </row>
    <row r="10" ht="14.25" customHeight="1">
      <c r="A10" s="20"/>
      <c r="B10" s="14" t="s">
        <v>44</v>
      </c>
      <c r="C10" s="14">
        <v>50.0</v>
      </c>
      <c r="D10" s="21" t="s">
        <v>45</v>
      </c>
      <c r="E10" s="17">
        <v>65.0</v>
      </c>
      <c r="F10" s="16" t="s">
        <v>46</v>
      </c>
      <c r="G10" s="14">
        <v>75.0</v>
      </c>
      <c r="H10" s="16" t="s">
        <v>47</v>
      </c>
      <c r="I10" s="14">
        <v>75.0</v>
      </c>
      <c r="J10" s="16" t="s">
        <v>75</v>
      </c>
      <c r="K10" s="14">
        <v>75.0</v>
      </c>
      <c r="L10" s="16" t="s">
        <v>49</v>
      </c>
      <c r="M10" s="14">
        <v>75.0</v>
      </c>
      <c r="N10" s="16" t="s">
        <v>49</v>
      </c>
      <c r="O10" s="22">
        <v>85.0</v>
      </c>
      <c r="P10" s="16" t="s">
        <v>76</v>
      </c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4">
        <f t="shared" si="1"/>
        <v>71.42857143</v>
      </c>
      <c r="BL10" s="18" t="str">
        <f t="array" ref="BL10">TEXTJOIN(" ", TRUE, _xlws.FILTER(C10:BJ10, MOD(COLUMN(C10:BJ10)-COLUMN(BN10),2)=0))</f>
        <v>#NAME?</v>
      </c>
      <c r="BM10" s="14"/>
      <c r="BN10" s="16"/>
      <c r="BO10" s="14"/>
      <c r="BP10" s="16"/>
      <c r="BQ10" s="14"/>
      <c r="BR10" s="16"/>
    </row>
    <row r="11" ht="14.25" customHeight="1">
      <c r="A11" s="20"/>
      <c r="B11" s="14" t="s">
        <v>51</v>
      </c>
      <c r="C11" s="14">
        <v>50.0</v>
      </c>
      <c r="D11" s="21" t="s">
        <v>52</v>
      </c>
      <c r="E11" s="14">
        <v>50.0</v>
      </c>
      <c r="F11" s="16" t="s">
        <v>53</v>
      </c>
      <c r="G11" s="14">
        <v>75.0</v>
      </c>
      <c r="H11" s="16" t="s">
        <v>54</v>
      </c>
      <c r="I11" s="14">
        <v>75.0</v>
      </c>
      <c r="J11" s="16" t="s">
        <v>77</v>
      </c>
      <c r="K11" s="14">
        <v>75.0</v>
      </c>
      <c r="L11" s="16" t="s">
        <v>56</v>
      </c>
      <c r="M11" s="14">
        <v>75.0</v>
      </c>
      <c r="N11" s="16" t="s">
        <v>56</v>
      </c>
      <c r="O11" s="23">
        <v>90.0</v>
      </c>
      <c r="P11" s="16" t="s">
        <v>78</v>
      </c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4">
        <f t="shared" si="1"/>
        <v>70</v>
      </c>
      <c r="BL11" s="18" t="str">
        <f t="array" ref="BL11">TEXTJOIN(" ", TRUE, _xlws.FILTER(C11:BJ11, MOD(COLUMN(C11:BJ11)-COLUMN(BN11),2)=0))</f>
        <v>#NAME?</v>
      </c>
      <c r="BM11" s="14"/>
      <c r="BN11" s="16"/>
      <c r="BO11" s="14"/>
      <c r="BP11" s="16"/>
      <c r="BQ11" s="14"/>
      <c r="BR11" s="16"/>
    </row>
    <row r="12" ht="14.25" customHeight="1">
      <c r="A12" s="20"/>
      <c r="B12" s="14" t="s">
        <v>58</v>
      </c>
      <c r="C12" s="14">
        <v>50.0</v>
      </c>
      <c r="D12" s="21" t="s">
        <v>79</v>
      </c>
      <c r="E12" s="17">
        <v>65.0</v>
      </c>
      <c r="F12" s="21" t="s">
        <v>80</v>
      </c>
      <c r="G12" s="17">
        <v>65.0</v>
      </c>
      <c r="H12" s="16" t="s">
        <v>81</v>
      </c>
      <c r="I12" s="14">
        <v>75.0</v>
      </c>
      <c r="J12" s="16" t="s">
        <v>82</v>
      </c>
      <c r="K12" s="14">
        <v>75.0</v>
      </c>
      <c r="L12" s="16" t="s">
        <v>64</v>
      </c>
      <c r="M12" s="25">
        <v>55.0</v>
      </c>
      <c r="N12" s="16" t="s">
        <v>83</v>
      </c>
      <c r="O12" s="23">
        <v>90.0</v>
      </c>
      <c r="P12" s="16" t="s">
        <v>84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4">
        <f t="shared" si="1"/>
        <v>67.85714286</v>
      </c>
      <c r="BL12" s="18" t="str">
        <f t="array" ref="BL12">TEXTJOIN(" ", TRUE, _xlws.FILTER(C12:BJ12, MOD(COLUMN(C12:BJ12)-COLUMN(BN12),2)=0))</f>
        <v>#NAME?</v>
      </c>
      <c r="BM12" s="14"/>
      <c r="BN12" s="16"/>
      <c r="BO12" s="14"/>
      <c r="BP12" s="16"/>
      <c r="BQ12" s="14"/>
      <c r="BR12" s="16"/>
    </row>
    <row r="13" ht="14.25" customHeight="1">
      <c r="A13" s="20"/>
      <c r="B13" s="14" t="s">
        <v>65</v>
      </c>
      <c r="C13" s="14"/>
      <c r="D13" s="21" t="s">
        <v>66</v>
      </c>
      <c r="E13" s="14">
        <v>50.0</v>
      </c>
      <c r="F13" s="16" t="s">
        <v>85</v>
      </c>
      <c r="G13" s="14">
        <v>50.0</v>
      </c>
      <c r="H13" s="16" t="s">
        <v>86</v>
      </c>
      <c r="I13" s="14"/>
      <c r="J13" s="16"/>
      <c r="K13" s="14">
        <v>25.0</v>
      </c>
      <c r="L13" s="16" t="s">
        <v>87</v>
      </c>
      <c r="M13" s="16">
        <v>50.0</v>
      </c>
      <c r="N13" s="16" t="s">
        <v>88</v>
      </c>
      <c r="O13" s="23">
        <v>90.0</v>
      </c>
      <c r="P13" s="16" t="s">
        <v>89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4">
        <f t="shared" si="1"/>
        <v>53</v>
      </c>
      <c r="BL13" s="18" t="str">
        <f t="array" ref="BL13">TEXTJOIN(" ", TRUE, _xlws.FILTER(C13:BJ13, MOD(COLUMN(C13:BJ13)-COLUMN(BN13),2)=0))</f>
        <v>#NAME?</v>
      </c>
      <c r="BM13" s="14"/>
      <c r="BN13" s="16"/>
      <c r="BO13" s="14"/>
      <c r="BP13" s="16"/>
      <c r="BQ13" s="14"/>
      <c r="BR13" s="16"/>
    </row>
    <row r="14" ht="14.25" customHeight="1">
      <c r="A14" s="24"/>
      <c r="B14" s="14" t="s">
        <v>72</v>
      </c>
      <c r="C14" s="14"/>
      <c r="D14" s="21"/>
      <c r="E14" s="14"/>
      <c r="F14" s="16"/>
      <c r="G14" s="14"/>
      <c r="H14" s="16"/>
      <c r="I14" s="14"/>
      <c r="J14" s="16"/>
      <c r="K14" s="14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4" t="str">
        <f t="shared" si="1"/>
        <v/>
      </c>
      <c r="BL14" s="18" t="str">
        <f t="array" ref="BL14">TEXTJOIN(" ", TRUE, _xlws.FILTER(C14:BJ14, MOD(COLUMN(C14:BJ14)-COLUMN(BN14),2)=0))</f>
        <v>#NAME?</v>
      </c>
      <c r="BM14" s="14"/>
      <c r="BN14" s="16"/>
      <c r="BO14" s="14"/>
      <c r="BP14" s="16"/>
      <c r="BQ14" s="14"/>
      <c r="BR14" s="16"/>
    </row>
    <row r="15" ht="14.25" customHeight="1">
      <c r="A15" s="13" t="s">
        <v>90</v>
      </c>
      <c r="B15" s="14" t="s">
        <v>42</v>
      </c>
      <c r="C15" s="14"/>
      <c r="D15" s="21"/>
      <c r="E15" s="14"/>
      <c r="F15" s="16"/>
      <c r="G15" s="14"/>
      <c r="H15" s="16"/>
      <c r="I15" s="17">
        <v>68.0</v>
      </c>
      <c r="J15" s="16" t="s">
        <v>91</v>
      </c>
      <c r="K15" s="14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4">
        <f t="shared" si="1"/>
        <v>68</v>
      </c>
      <c r="BL15" s="18" t="str">
        <f t="array" ref="BL15">TEXTJOIN(" ", TRUE, _xlws.FILTER(C15:BJ15, MOD(COLUMN(C15:BJ15)-COLUMN(BN15),2)=0))</f>
        <v>#NAME?</v>
      </c>
      <c r="BM15" s="14"/>
      <c r="BN15" s="16"/>
      <c r="BO15" s="14"/>
      <c r="BP15" s="16"/>
      <c r="BQ15" s="14"/>
      <c r="BR15" s="16"/>
    </row>
    <row r="16" ht="14.25" customHeight="1">
      <c r="A16" s="20"/>
      <c r="B16" s="14" t="s">
        <v>44</v>
      </c>
      <c r="C16" s="14">
        <v>50.0</v>
      </c>
      <c r="D16" s="21" t="s">
        <v>45</v>
      </c>
      <c r="E16" s="17">
        <v>65.0</v>
      </c>
      <c r="F16" s="16" t="s">
        <v>46</v>
      </c>
      <c r="G16" s="14">
        <v>75.0</v>
      </c>
      <c r="H16" s="16" t="s">
        <v>47</v>
      </c>
      <c r="I16" s="14">
        <v>75.0</v>
      </c>
      <c r="J16" s="16" t="s">
        <v>75</v>
      </c>
      <c r="K16" s="14">
        <v>75.0</v>
      </c>
      <c r="L16" s="16" t="s">
        <v>49</v>
      </c>
      <c r="M16" s="14">
        <v>75.0</v>
      </c>
      <c r="N16" s="16" t="s">
        <v>49</v>
      </c>
      <c r="O16" s="26">
        <v>80.0</v>
      </c>
      <c r="P16" s="16" t="s">
        <v>92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4">
        <f t="shared" si="1"/>
        <v>70.71428571</v>
      </c>
      <c r="BL16" s="18" t="str">
        <f t="array" ref="BL16">TEXTJOIN(" ", TRUE, _xlws.FILTER(C16:BJ16, MOD(COLUMN(C16:BJ16)-COLUMN(BN16),2)=0))</f>
        <v>#NAME?</v>
      </c>
      <c r="BM16" s="14"/>
      <c r="BN16" s="16"/>
      <c r="BO16" s="14"/>
      <c r="BP16" s="16"/>
      <c r="BQ16" s="14"/>
      <c r="BR16" s="16"/>
    </row>
    <row r="17" ht="14.25" customHeight="1">
      <c r="A17" s="20"/>
      <c r="B17" s="14" t="s">
        <v>51</v>
      </c>
      <c r="C17" s="14">
        <v>50.0</v>
      </c>
      <c r="D17" s="21" t="s">
        <v>52</v>
      </c>
      <c r="E17" s="14">
        <v>50.0</v>
      </c>
      <c r="F17" s="16" t="s">
        <v>53</v>
      </c>
      <c r="G17" s="14">
        <v>75.0</v>
      </c>
      <c r="H17" s="16" t="s">
        <v>54</v>
      </c>
      <c r="I17" s="14"/>
      <c r="J17" s="16"/>
      <c r="K17" s="14">
        <v>75.0</v>
      </c>
      <c r="L17" s="16" t="s">
        <v>56</v>
      </c>
      <c r="M17" s="14">
        <v>75.0</v>
      </c>
      <c r="N17" s="16" t="s">
        <v>56</v>
      </c>
      <c r="O17" s="26">
        <v>80.0</v>
      </c>
      <c r="P17" s="16" t="s">
        <v>93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4">
        <f t="shared" si="1"/>
        <v>67.5</v>
      </c>
      <c r="BL17" s="18" t="str">
        <f t="array" ref="BL17">TEXTJOIN(" ", TRUE, _xlws.FILTER(C17:BJ17, MOD(COLUMN(C17:BJ17)-COLUMN(BN17),2)=0))</f>
        <v>#NAME?</v>
      </c>
      <c r="BM17" s="14"/>
      <c r="BN17" s="16"/>
      <c r="BO17" s="14"/>
      <c r="BP17" s="16"/>
      <c r="BQ17" s="14"/>
      <c r="BR17" s="16"/>
    </row>
    <row r="18" ht="14.25" customHeight="1">
      <c r="A18" s="20"/>
      <c r="B18" s="14" t="s">
        <v>58</v>
      </c>
      <c r="C18" s="14" t="s">
        <v>59</v>
      </c>
      <c r="D18" s="21" t="s">
        <v>59</v>
      </c>
      <c r="E18" s="17">
        <v>65.0</v>
      </c>
      <c r="F18" s="21" t="s">
        <v>94</v>
      </c>
      <c r="G18" s="17">
        <v>65.0</v>
      </c>
      <c r="H18" s="16" t="s">
        <v>95</v>
      </c>
      <c r="I18" s="14"/>
      <c r="J18" s="16"/>
      <c r="K18" s="17">
        <v>65.0</v>
      </c>
      <c r="L18" s="16" t="s">
        <v>62</v>
      </c>
      <c r="M18" s="16" t="s">
        <v>59</v>
      </c>
      <c r="N18" s="16"/>
      <c r="O18" s="16">
        <v>75.0</v>
      </c>
      <c r="P18" s="16" t="s">
        <v>96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4">
        <f t="shared" si="1"/>
        <v>67.5</v>
      </c>
      <c r="BL18" s="18" t="str">
        <f t="array" ref="BL18">TEXTJOIN(" ", TRUE, _xlws.FILTER(C18:BJ18, MOD(COLUMN(C18:BJ18)-COLUMN(BN18),2)=0))</f>
        <v>#NAME?</v>
      </c>
      <c r="BM18" s="14"/>
      <c r="BN18" s="16"/>
      <c r="BO18" s="14"/>
      <c r="BP18" s="16"/>
      <c r="BQ18" s="14"/>
      <c r="BR18" s="16"/>
    </row>
    <row r="19" ht="14.25" customHeight="1">
      <c r="A19" s="20"/>
      <c r="B19" s="14" t="s">
        <v>65</v>
      </c>
      <c r="C19" s="14"/>
      <c r="D19" s="21" t="s">
        <v>66</v>
      </c>
      <c r="E19" s="27">
        <v>50.0</v>
      </c>
      <c r="F19" s="16" t="s">
        <v>97</v>
      </c>
      <c r="G19" s="14">
        <v>50.0</v>
      </c>
      <c r="H19" s="16" t="s">
        <v>98</v>
      </c>
      <c r="I19" s="14"/>
      <c r="J19" s="16"/>
      <c r="K19" s="14">
        <v>50.0</v>
      </c>
      <c r="L19" s="16" t="s">
        <v>99</v>
      </c>
      <c r="M19" s="16">
        <v>50.0</v>
      </c>
      <c r="N19" s="16" t="s">
        <v>100</v>
      </c>
      <c r="O19" s="16">
        <v>75.0</v>
      </c>
      <c r="P19" s="16" t="s">
        <v>101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4">
        <f t="shared" si="1"/>
        <v>55</v>
      </c>
      <c r="BL19" s="18" t="str">
        <f t="array" ref="BL19">TEXTJOIN(" ", TRUE, _xlws.FILTER(C19:BJ19, MOD(COLUMN(C19:BJ19)-COLUMN(BN19),2)=0))</f>
        <v>#NAME?</v>
      </c>
      <c r="BM19" s="14"/>
      <c r="BN19" s="16"/>
      <c r="BO19" s="14"/>
      <c r="BP19" s="16"/>
      <c r="BQ19" s="14"/>
      <c r="BR19" s="16"/>
    </row>
    <row r="20" ht="14.25" customHeight="1">
      <c r="A20" s="24"/>
      <c r="B20" s="14" t="s">
        <v>72</v>
      </c>
      <c r="C20" s="14"/>
      <c r="D20" s="21"/>
      <c r="E20" s="14"/>
      <c r="F20" s="16"/>
      <c r="G20" s="14"/>
      <c r="H20" s="16"/>
      <c r="I20" s="14"/>
      <c r="J20" s="16"/>
      <c r="K20" s="14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4" t="str">
        <f t="shared" si="1"/>
        <v/>
      </c>
      <c r="BL20" s="18" t="str">
        <f t="array" ref="BL20">TEXTJOIN(" ", TRUE, _xlws.FILTER(C20:BJ20, MOD(COLUMN(C20:BJ20)-COLUMN(BN20),2)=0))</f>
        <v>#NAME?</v>
      </c>
      <c r="BM20" s="14"/>
      <c r="BN20" s="16"/>
      <c r="BO20" s="14"/>
      <c r="BP20" s="16"/>
      <c r="BQ20" s="14"/>
      <c r="BR20" s="16"/>
    </row>
    <row r="21" ht="14.25" customHeight="1">
      <c r="A21" s="13" t="s">
        <v>102</v>
      </c>
      <c r="B21" s="14" t="s">
        <v>42</v>
      </c>
      <c r="C21" s="14"/>
      <c r="D21" s="21"/>
      <c r="E21" s="14"/>
      <c r="F21" s="16"/>
      <c r="G21" s="14"/>
      <c r="H21" s="16"/>
      <c r="I21" s="14">
        <v>82.0</v>
      </c>
      <c r="J21" s="16" t="s">
        <v>103</v>
      </c>
      <c r="K21" s="14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4">
        <f t="shared" si="1"/>
        <v>82</v>
      </c>
      <c r="BL21" s="18" t="str">
        <f t="array" ref="BL21">TEXTJOIN(" ", TRUE, _xlws.FILTER(C21:BJ21, MOD(COLUMN(C21:BJ21)-COLUMN(BN21),2)=0))</f>
        <v>#NAME?</v>
      </c>
      <c r="BM21" s="14"/>
      <c r="BN21" s="16"/>
      <c r="BO21" s="14"/>
      <c r="BP21" s="16"/>
      <c r="BQ21" s="14"/>
      <c r="BR21" s="16"/>
    </row>
    <row r="22" ht="14.25" customHeight="1">
      <c r="A22" s="20"/>
      <c r="B22" s="14" t="s">
        <v>44</v>
      </c>
      <c r="C22" s="14">
        <v>50.0</v>
      </c>
      <c r="D22" s="21" t="s">
        <v>45</v>
      </c>
      <c r="E22" s="17">
        <v>65.0</v>
      </c>
      <c r="F22" s="16" t="s">
        <v>46</v>
      </c>
      <c r="G22" s="14">
        <v>75.0</v>
      </c>
      <c r="H22" s="16" t="s">
        <v>47</v>
      </c>
      <c r="I22" s="14">
        <v>75.0</v>
      </c>
      <c r="J22" s="16" t="s">
        <v>75</v>
      </c>
      <c r="K22" s="14">
        <v>75.0</v>
      </c>
      <c r="L22" s="16" t="s">
        <v>49</v>
      </c>
      <c r="M22" s="14">
        <v>75.0</v>
      </c>
      <c r="N22" s="16" t="s">
        <v>49</v>
      </c>
      <c r="O22" s="23">
        <v>90.0</v>
      </c>
      <c r="P22" s="16" t="s">
        <v>104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4">
        <f t="shared" si="1"/>
        <v>72.14285714</v>
      </c>
      <c r="BL22" s="18" t="str">
        <f t="array" ref="BL22">TEXTJOIN(" ", TRUE, _xlws.FILTER(C22:BJ22, MOD(COLUMN(C22:BJ22)-COLUMN(BN22),2)=0))</f>
        <v>#NAME?</v>
      </c>
      <c r="BM22" s="14"/>
      <c r="BN22" s="16"/>
      <c r="BO22" s="14"/>
      <c r="BP22" s="16"/>
      <c r="BQ22" s="14"/>
      <c r="BR22" s="16"/>
    </row>
    <row r="23" ht="14.25" customHeight="1">
      <c r="A23" s="20"/>
      <c r="B23" s="14" t="s">
        <v>51</v>
      </c>
      <c r="C23" s="14">
        <v>50.0</v>
      </c>
      <c r="D23" s="21" t="s">
        <v>52</v>
      </c>
      <c r="E23" s="14">
        <v>50.0</v>
      </c>
      <c r="F23" s="16" t="s">
        <v>53</v>
      </c>
      <c r="G23" s="14">
        <v>75.0</v>
      </c>
      <c r="H23" s="16" t="s">
        <v>54</v>
      </c>
      <c r="I23" s="17">
        <v>65.0</v>
      </c>
      <c r="J23" s="16" t="s">
        <v>105</v>
      </c>
      <c r="K23" s="14">
        <v>75.0</v>
      </c>
      <c r="L23" s="16" t="s">
        <v>56</v>
      </c>
      <c r="M23" s="14">
        <v>75.0</v>
      </c>
      <c r="N23" s="16" t="s">
        <v>56</v>
      </c>
      <c r="O23" s="23">
        <v>90.0</v>
      </c>
      <c r="P23" s="16" t="s">
        <v>106</v>
      </c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4">
        <f t="shared" si="1"/>
        <v>68.57142857</v>
      </c>
      <c r="BL23" s="18" t="str">
        <f t="array" ref="BL23">TEXTJOIN(" ", TRUE, _xlws.FILTER(C23:BJ23, MOD(COLUMN(C23:BJ23)-COLUMN(BN23),2)=0))</f>
        <v>#NAME?</v>
      </c>
      <c r="BM23" s="14"/>
      <c r="BN23" s="16"/>
      <c r="BO23" s="14"/>
      <c r="BP23" s="16"/>
      <c r="BQ23" s="14"/>
      <c r="BR23" s="16"/>
    </row>
    <row r="24" ht="14.25" customHeight="1">
      <c r="A24" s="20"/>
      <c r="B24" s="14" t="s">
        <v>58</v>
      </c>
      <c r="C24" s="14">
        <v>50.0</v>
      </c>
      <c r="D24" s="21" t="s">
        <v>107</v>
      </c>
      <c r="E24" s="17">
        <v>75.0</v>
      </c>
      <c r="F24" s="21" t="s">
        <v>108</v>
      </c>
      <c r="G24" s="17">
        <v>65.0</v>
      </c>
      <c r="H24" s="16" t="s">
        <v>61</v>
      </c>
      <c r="I24" s="14">
        <v>75.0</v>
      </c>
      <c r="J24" s="16" t="s">
        <v>82</v>
      </c>
      <c r="K24" s="14">
        <v>75.0</v>
      </c>
      <c r="L24" s="16" t="s">
        <v>109</v>
      </c>
      <c r="M24" s="17">
        <v>65.0</v>
      </c>
      <c r="N24" s="16" t="s">
        <v>110</v>
      </c>
      <c r="O24" s="22">
        <v>85.0</v>
      </c>
      <c r="P24" s="16" t="s">
        <v>111</v>
      </c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4">
        <f t="shared" si="1"/>
        <v>70</v>
      </c>
      <c r="BL24" s="18" t="str">
        <f t="array" ref="BL24">TEXTJOIN(" ", TRUE, _xlws.FILTER(C24:BJ24, MOD(COLUMN(C24:BJ24)-COLUMN(BN24),2)=0))</f>
        <v>#NAME?</v>
      </c>
      <c r="BM24" s="14"/>
      <c r="BN24" s="16"/>
      <c r="BO24" s="14"/>
      <c r="BP24" s="16"/>
      <c r="BQ24" s="14"/>
      <c r="BR24" s="16"/>
    </row>
    <row r="25" ht="14.25" customHeight="1">
      <c r="A25" s="20"/>
      <c r="B25" s="14" t="s">
        <v>65</v>
      </c>
      <c r="C25" s="14"/>
      <c r="D25" s="21" t="s">
        <v>66</v>
      </c>
      <c r="E25" s="14">
        <v>50.0</v>
      </c>
      <c r="F25" s="16" t="s">
        <v>112</v>
      </c>
      <c r="G25" s="14">
        <v>50.0</v>
      </c>
      <c r="H25" s="16" t="s">
        <v>113</v>
      </c>
      <c r="I25" s="14"/>
      <c r="J25" s="16"/>
      <c r="K25" s="14">
        <v>25.0</v>
      </c>
      <c r="L25" s="16" t="s">
        <v>87</v>
      </c>
      <c r="M25" s="16">
        <v>25.0</v>
      </c>
      <c r="N25" s="16" t="s">
        <v>70</v>
      </c>
      <c r="O25" s="22">
        <v>85.0</v>
      </c>
      <c r="P25" s="16" t="s">
        <v>114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4">
        <f t="shared" si="1"/>
        <v>47</v>
      </c>
      <c r="BL25" s="18" t="str">
        <f t="array" ref="BL25">TEXTJOIN(" ", TRUE, _xlws.FILTER(C25:BJ25, MOD(COLUMN(C25:BJ25)-COLUMN(BN25),2)=0))</f>
        <v>#NAME?</v>
      </c>
      <c r="BM25" s="14"/>
      <c r="BN25" s="16"/>
      <c r="BO25" s="14"/>
      <c r="BP25" s="16"/>
      <c r="BQ25" s="14"/>
      <c r="BR25" s="16"/>
    </row>
    <row r="26" ht="14.25" customHeight="1">
      <c r="A26" s="24"/>
      <c r="B26" s="14" t="s">
        <v>72</v>
      </c>
      <c r="C26" s="14"/>
      <c r="D26" s="28"/>
      <c r="E26" s="14"/>
      <c r="F26" s="16"/>
      <c r="G26" s="14"/>
      <c r="H26" s="16"/>
      <c r="I26" s="14"/>
      <c r="J26" s="16"/>
      <c r="K26" s="14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4" t="str">
        <f t="shared" si="1"/>
        <v/>
      </c>
      <c r="BL26" s="18" t="str">
        <f t="array" ref="BL26">TEXTJOIN(" ", TRUE, _xlws.FILTER(C26:BJ26, MOD(COLUMN(C26:BJ26)-COLUMN(BN26),2)=0))</f>
        <v>#NAME?</v>
      </c>
      <c r="BM26" s="14"/>
      <c r="BN26" s="16"/>
      <c r="BO26" s="14"/>
      <c r="BP26" s="16"/>
      <c r="BQ26" s="14"/>
      <c r="BR26" s="16"/>
    </row>
    <row r="27" ht="14.25" customHeight="1">
      <c r="A27" s="13" t="s">
        <v>115</v>
      </c>
      <c r="B27" s="14" t="s">
        <v>42</v>
      </c>
      <c r="C27" s="14"/>
      <c r="D27" s="21"/>
      <c r="E27" s="14"/>
      <c r="F27" s="16"/>
      <c r="G27" s="14"/>
      <c r="H27" s="16"/>
      <c r="I27" s="17">
        <v>59.0</v>
      </c>
      <c r="J27" s="16" t="s">
        <v>116</v>
      </c>
      <c r="K27" s="14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4">
        <f t="shared" si="1"/>
        <v>59</v>
      </c>
      <c r="BL27" s="18" t="str">
        <f t="array" ref="BL27">TEXTJOIN(" ", TRUE, _xlws.FILTER(C27:BJ27, MOD(COLUMN(C27:BJ27)-COLUMN(BN27),2)=0))</f>
        <v>#NAME?</v>
      </c>
      <c r="BM27" s="14"/>
      <c r="BN27" s="16"/>
      <c r="BO27" s="14"/>
      <c r="BP27" s="16"/>
      <c r="BQ27" s="14"/>
      <c r="BR27" s="16"/>
    </row>
    <row r="28" ht="14.25" customHeight="1">
      <c r="A28" s="20"/>
      <c r="B28" s="14" t="s">
        <v>44</v>
      </c>
      <c r="C28" s="14">
        <v>50.0</v>
      </c>
      <c r="D28" s="21" t="s">
        <v>45</v>
      </c>
      <c r="E28" s="17">
        <v>65.0</v>
      </c>
      <c r="F28" s="16" t="s">
        <v>46</v>
      </c>
      <c r="G28" s="14">
        <v>75.0</v>
      </c>
      <c r="H28" s="16" t="s">
        <v>47</v>
      </c>
      <c r="I28" s="14">
        <v>75.0</v>
      </c>
      <c r="J28" s="16" t="s">
        <v>75</v>
      </c>
      <c r="K28" s="14">
        <v>75.0</v>
      </c>
      <c r="L28" s="16" t="s">
        <v>49</v>
      </c>
      <c r="M28" s="14">
        <v>75.0</v>
      </c>
      <c r="N28" s="16" t="s">
        <v>49</v>
      </c>
      <c r="O28" s="23">
        <v>90.0</v>
      </c>
      <c r="P28" s="16" t="s">
        <v>117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4">
        <f t="shared" si="1"/>
        <v>72.14285714</v>
      </c>
      <c r="BL28" s="18" t="str">
        <f t="array" ref="BL28">TEXTJOIN(" ", TRUE, _xlws.FILTER(C28:BJ28, MOD(COLUMN(C28:BJ28)-COLUMN(BN28),2)=0))</f>
        <v>#NAME?</v>
      </c>
      <c r="BM28" s="14"/>
      <c r="BN28" s="16"/>
      <c r="BO28" s="14"/>
      <c r="BP28" s="16"/>
      <c r="BQ28" s="14"/>
      <c r="BR28" s="16"/>
    </row>
    <row r="29" ht="14.25" customHeight="1">
      <c r="A29" s="20"/>
      <c r="B29" s="14" t="s">
        <v>51</v>
      </c>
      <c r="C29" s="14">
        <v>50.0</v>
      </c>
      <c r="D29" s="21" t="s">
        <v>52</v>
      </c>
      <c r="E29" s="14">
        <v>50.0</v>
      </c>
      <c r="F29" s="16" t="s">
        <v>53</v>
      </c>
      <c r="G29" s="14">
        <v>75.0</v>
      </c>
      <c r="H29" s="16" t="s">
        <v>54</v>
      </c>
      <c r="I29" s="14">
        <v>75.0</v>
      </c>
      <c r="J29" s="16" t="s">
        <v>77</v>
      </c>
      <c r="K29" s="14">
        <v>75.0</v>
      </c>
      <c r="L29" s="16" t="s">
        <v>56</v>
      </c>
      <c r="M29" s="14">
        <v>75.0</v>
      </c>
      <c r="N29" s="16" t="s">
        <v>56</v>
      </c>
      <c r="O29" s="26">
        <v>80.0</v>
      </c>
      <c r="P29" s="16" t="s">
        <v>93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4">
        <f t="shared" si="1"/>
        <v>68.57142857</v>
      </c>
      <c r="BL29" s="18" t="str">
        <f t="array" ref="BL29">TEXTJOIN(" ", TRUE, _xlws.FILTER(C29:BJ29, MOD(COLUMN(C29:BJ29)-COLUMN(BN29),2)=0))</f>
        <v>#NAME?</v>
      </c>
      <c r="BM29" s="14"/>
      <c r="BN29" s="16"/>
      <c r="BO29" s="14"/>
      <c r="BP29" s="16"/>
      <c r="BQ29" s="14"/>
      <c r="BR29" s="16"/>
    </row>
    <row r="30" ht="14.25" customHeight="1">
      <c r="A30" s="20"/>
      <c r="B30" s="14" t="s">
        <v>58</v>
      </c>
      <c r="C30" s="14">
        <v>25.0</v>
      </c>
      <c r="D30" s="21" t="s">
        <v>118</v>
      </c>
      <c r="E30" s="17">
        <v>65.0</v>
      </c>
      <c r="F30" s="21" t="s">
        <v>119</v>
      </c>
      <c r="G30" s="17">
        <v>65.0</v>
      </c>
      <c r="H30" s="16" t="s">
        <v>120</v>
      </c>
      <c r="I30" s="14"/>
      <c r="J30" s="16"/>
      <c r="K30" s="14">
        <v>75.0</v>
      </c>
      <c r="L30" s="16" t="s">
        <v>121</v>
      </c>
      <c r="M30" s="16">
        <v>50.0</v>
      </c>
      <c r="N30" s="16" t="s">
        <v>122</v>
      </c>
      <c r="O30" s="26">
        <v>80.0</v>
      </c>
      <c r="P30" s="16" t="s">
        <v>123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4">
        <f t="shared" si="1"/>
        <v>60</v>
      </c>
      <c r="BL30" s="18" t="str">
        <f t="array" ref="BL30">TEXTJOIN(" ", TRUE, _xlws.FILTER(C30:BJ30, MOD(COLUMN(C30:BJ30)-COLUMN(BN30),2)=0))</f>
        <v>#NAME?</v>
      </c>
      <c r="BM30" s="14"/>
      <c r="BN30" s="16"/>
      <c r="BO30" s="14"/>
      <c r="BP30" s="16"/>
      <c r="BQ30" s="14"/>
      <c r="BR30" s="16"/>
    </row>
    <row r="31" ht="14.25" customHeight="1">
      <c r="A31" s="20"/>
      <c r="B31" s="14" t="s">
        <v>65</v>
      </c>
      <c r="C31" s="14"/>
      <c r="D31" s="21" t="s">
        <v>66</v>
      </c>
      <c r="E31" s="14">
        <v>50.0</v>
      </c>
      <c r="F31" s="16" t="s">
        <v>124</v>
      </c>
      <c r="G31" s="17">
        <v>65.0</v>
      </c>
      <c r="H31" s="16" t="s">
        <v>125</v>
      </c>
      <c r="I31" s="17">
        <v>65.0</v>
      </c>
      <c r="J31" s="16" t="s">
        <v>126</v>
      </c>
      <c r="K31" s="17">
        <v>65.0</v>
      </c>
      <c r="L31" s="16" t="s">
        <v>127</v>
      </c>
      <c r="M31" s="16">
        <v>50.0</v>
      </c>
      <c r="N31" s="16" t="s">
        <v>128</v>
      </c>
      <c r="O31" s="23">
        <v>90.0</v>
      </c>
      <c r="P31" s="16" t="s">
        <v>129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4">
        <f t="shared" si="1"/>
        <v>64.16666667</v>
      </c>
      <c r="BL31" s="18" t="str">
        <f t="array" ref="BL31">TEXTJOIN(" ", TRUE, _xlws.FILTER(C31:BJ31, MOD(COLUMN(C31:BJ31)-COLUMN(BN31),2)=0))</f>
        <v>#NAME?</v>
      </c>
      <c r="BM31" s="14"/>
      <c r="BN31" s="16"/>
      <c r="BO31" s="14"/>
      <c r="BP31" s="16"/>
      <c r="BQ31" s="14"/>
      <c r="BR31" s="16"/>
    </row>
    <row r="32" ht="14.25" customHeight="1">
      <c r="A32" s="24"/>
      <c r="B32" s="14" t="s">
        <v>72</v>
      </c>
      <c r="C32" s="14"/>
      <c r="D32" s="21"/>
      <c r="E32" s="14"/>
      <c r="F32" s="16"/>
      <c r="G32" s="14"/>
      <c r="H32" s="16"/>
      <c r="I32" s="14"/>
      <c r="J32" s="16"/>
      <c r="K32" s="14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4" t="str">
        <f t="shared" si="1"/>
        <v/>
      </c>
      <c r="BL32" s="18" t="str">
        <f t="array" ref="BL32">TEXTJOIN(" ", TRUE, _xlws.FILTER(C32:BJ32, MOD(COLUMN(C32:BJ32)-COLUMN(BN32),2)=0))</f>
        <v>#NAME?</v>
      </c>
      <c r="BM32" s="14"/>
      <c r="BN32" s="16"/>
      <c r="BO32" s="14"/>
      <c r="BP32" s="16"/>
      <c r="BQ32" s="14"/>
      <c r="BR32" s="16"/>
    </row>
    <row r="33" ht="14.25" customHeight="1">
      <c r="A33" s="13" t="s">
        <v>130</v>
      </c>
      <c r="B33" s="14" t="s">
        <v>42</v>
      </c>
      <c r="C33" s="14"/>
      <c r="D33" s="21"/>
      <c r="E33" s="14"/>
      <c r="F33" s="16"/>
      <c r="G33" s="14"/>
      <c r="H33" s="16"/>
      <c r="I33" s="17">
        <v>85.0</v>
      </c>
      <c r="J33" s="16" t="s">
        <v>131</v>
      </c>
      <c r="K33" s="14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4">
        <f t="shared" si="1"/>
        <v>85</v>
      </c>
      <c r="BL33" s="18" t="str">
        <f t="array" ref="BL33">TEXTJOIN(" ", TRUE, _xlws.FILTER(C33:BJ33, MOD(COLUMN(C33:BJ33)-COLUMN(BN33),2)=0))</f>
        <v>#NAME?</v>
      </c>
      <c r="BM33" s="14"/>
      <c r="BN33" s="16"/>
      <c r="BO33" s="14"/>
      <c r="BP33" s="16"/>
      <c r="BQ33" s="14"/>
      <c r="BR33" s="16"/>
    </row>
    <row r="34" ht="14.25" customHeight="1">
      <c r="A34" s="20"/>
      <c r="B34" s="14" t="s">
        <v>44</v>
      </c>
      <c r="C34" s="14">
        <v>50.0</v>
      </c>
      <c r="D34" s="21" t="s">
        <v>45</v>
      </c>
      <c r="E34" s="17">
        <v>65.0</v>
      </c>
      <c r="F34" s="16" t="s">
        <v>46</v>
      </c>
      <c r="G34" s="14">
        <v>75.0</v>
      </c>
      <c r="H34" s="16" t="s">
        <v>47</v>
      </c>
      <c r="I34" s="14">
        <v>75.0</v>
      </c>
      <c r="J34" s="16" t="s">
        <v>132</v>
      </c>
      <c r="K34" s="14">
        <v>75.0</v>
      </c>
      <c r="L34" s="16" t="s">
        <v>49</v>
      </c>
      <c r="M34" s="14">
        <v>75.0</v>
      </c>
      <c r="N34" s="16" t="s">
        <v>49</v>
      </c>
      <c r="O34" s="23">
        <v>90.0</v>
      </c>
      <c r="P34" s="16" t="s">
        <v>133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4">
        <f t="shared" si="1"/>
        <v>72.14285714</v>
      </c>
      <c r="BL34" s="18" t="str">
        <f t="array" ref="BL34">TEXTJOIN(" ", TRUE, _xlws.FILTER(C34:BJ34, MOD(COLUMN(C34:BJ34)-COLUMN(BN34),2)=0))</f>
        <v>#NAME?</v>
      </c>
      <c r="BM34" s="14"/>
      <c r="BN34" s="16"/>
      <c r="BO34" s="14"/>
      <c r="BP34" s="16"/>
      <c r="BQ34" s="14"/>
      <c r="BR34" s="16"/>
    </row>
    <row r="35" ht="14.25" customHeight="1">
      <c r="A35" s="20"/>
      <c r="B35" s="14" t="s">
        <v>51</v>
      </c>
      <c r="C35" s="14">
        <v>50.0</v>
      </c>
      <c r="D35" s="21" t="s">
        <v>52</v>
      </c>
      <c r="E35" s="14">
        <v>50.0</v>
      </c>
      <c r="F35" s="16" t="s">
        <v>53</v>
      </c>
      <c r="G35" s="14">
        <v>75.0</v>
      </c>
      <c r="H35" s="16" t="s">
        <v>54</v>
      </c>
      <c r="I35" s="17">
        <v>65.0</v>
      </c>
      <c r="J35" s="16" t="s">
        <v>134</v>
      </c>
      <c r="K35" s="14">
        <v>75.0</v>
      </c>
      <c r="L35" s="16" t="s">
        <v>56</v>
      </c>
      <c r="M35" s="14">
        <v>75.0</v>
      </c>
      <c r="N35" s="16" t="s">
        <v>56</v>
      </c>
      <c r="O35" s="26">
        <v>80.0</v>
      </c>
      <c r="P35" s="16" t="s">
        <v>93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4">
        <f t="shared" si="1"/>
        <v>67.14285714</v>
      </c>
      <c r="BL35" s="18" t="str">
        <f t="array" ref="BL35">TEXTJOIN(" ", TRUE, _xlws.FILTER(C35:BJ35, MOD(COLUMN(C35:BJ35)-COLUMN(BN35),2)=0))</f>
        <v>#NAME?</v>
      </c>
      <c r="BM35" s="14"/>
      <c r="BN35" s="16"/>
      <c r="BO35" s="14"/>
      <c r="BP35" s="16"/>
      <c r="BQ35" s="14"/>
      <c r="BR35" s="16"/>
    </row>
    <row r="36" ht="14.25" customHeight="1">
      <c r="A36" s="20"/>
      <c r="B36" s="14" t="s">
        <v>58</v>
      </c>
      <c r="C36" s="14" t="s">
        <v>59</v>
      </c>
      <c r="D36" s="21" t="s">
        <v>59</v>
      </c>
      <c r="E36" s="17">
        <v>65.0</v>
      </c>
      <c r="F36" s="21" t="s">
        <v>80</v>
      </c>
      <c r="G36" s="17">
        <v>65.0</v>
      </c>
      <c r="H36" s="16" t="s">
        <v>135</v>
      </c>
      <c r="I36" s="14"/>
      <c r="J36" s="16"/>
      <c r="K36" s="14">
        <v>50.0</v>
      </c>
      <c r="L36" s="16" t="s">
        <v>69</v>
      </c>
      <c r="M36" s="16" t="s">
        <v>59</v>
      </c>
      <c r="N36" s="16"/>
      <c r="O36" s="22">
        <v>85.0</v>
      </c>
      <c r="P36" s="16" t="s">
        <v>121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4">
        <f t="shared" si="1"/>
        <v>66.25</v>
      </c>
      <c r="BL36" s="18" t="str">
        <f t="array" ref="BL36">TEXTJOIN(" ", TRUE, _xlws.FILTER(C36:BJ36, MOD(COLUMN(C36:BJ36)-COLUMN(BN36),2)=0))</f>
        <v>#NAME?</v>
      </c>
      <c r="BM36" s="14"/>
      <c r="BN36" s="16"/>
      <c r="BO36" s="14"/>
      <c r="BP36" s="16"/>
      <c r="BQ36" s="14"/>
      <c r="BR36" s="16"/>
    </row>
    <row r="37" ht="14.25" customHeight="1">
      <c r="A37" s="20"/>
      <c r="B37" s="14" t="s">
        <v>65</v>
      </c>
      <c r="C37" s="14"/>
      <c r="D37" s="21" t="s">
        <v>66</v>
      </c>
      <c r="E37" s="14">
        <v>50.0</v>
      </c>
      <c r="F37" s="16" t="s">
        <v>136</v>
      </c>
      <c r="G37" s="14">
        <v>50.0</v>
      </c>
      <c r="H37" s="16" t="s">
        <v>137</v>
      </c>
      <c r="I37" s="14"/>
      <c r="J37" s="16"/>
      <c r="K37" s="14">
        <v>25.0</v>
      </c>
      <c r="L37" s="16" t="s">
        <v>87</v>
      </c>
      <c r="M37" s="16">
        <v>50.0</v>
      </c>
      <c r="N37" s="16" t="s">
        <v>138</v>
      </c>
      <c r="O37" s="22">
        <v>85.0</v>
      </c>
      <c r="P37" s="16" t="s">
        <v>89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4">
        <f t="shared" si="1"/>
        <v>52</v>
      </c>
      <c r="BL37" s="18" t="str">
        <f t="array" ref="BL37">TEXTJOIN(" ", TRUE, _xlws.FILTER(C37:BJ37, MOD(COLUMN(C37:BJ37)-COLUMN(BN37),2)=0))</f>
        <v>#NAME?</v>
      </c>
      <c r="BM37" s="14"/>
      <c r="BN37" s="16"/>
      <c r="BO37" s="14"/>
      <c r="BP37" s="16"/>
      <c r="BQ37" s="14"/>
      <c r="BR37" s="16"/>
    </row>
    <row r="38" ht="14.25" customHeight="1">
      <c r="A38" s="24"/>
      <c r="B38" s="14" t="s">
        <v>72</v>
      </c>
      <c r="C38" s="14"/>
      <c r="D38" s="21"/>
      <c r="E38" s="14"/>
      <c r="F38" s="16"/>
      <c r="G38" s="14"/>
      <c r="H38" s="16"/>
      <c r="I38" s="14"/>
      <c r="J38" s="16"/>
      <c r="K38" s="14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4" t="str">
        <f t="shared" si="1"/>
        <v/>
      </c>
      <c r="BL38" s="18" t="str">
        <f t="array" ref="BL38">TEXTJOIN(" ", TRUE, _xlws.FILTER(C38:BJ38, MOD(COLUMN(C38:BJ38)-COLUMN(BN38),2)=0))</f>
        <v>#NAME?</v>
      </c>
      <c r="BM38" s="14"/>
      <c r="BN38" s="16"/>
      <c r="BO38" s="14"/>
      <c r="BP38" s="16"/>
      <c r="BQ38" s="14"/>
      <c r="BR38" s="16"/>
    </row>
    <row r="39" ht="14.25" customHeight="1">
      <c r="A39" s="13" t="s">
        <v>139</v>
      </c>
      <c r="B39" s="14" t="s">
        <v>42</v>
      </c>
      <c r="C39" s="16"/>
      <c r="D39" s="21"/>
      <c r="E39" s="16"/>
      <c r="F39" s="16"/>
      <c r="G39" s="16"/>
      <c r="H39" s="16"/>
      <c r="I39" s="14">
        <v>84.0</v>
      </c>
      <c r="J39" s="16" t="s">
        <v>140</v>
      </c>
      <c r="K39" s="14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4">
        <f t="shared" si="1"/>
        <v>84</v>
      </c>
      <c r="BL39" s="18" t="str">
        <f t="array" ref="BL39">TEXTJOIN(" ", TRUE, _xlws.FILTER(C39:BJ39, MOD(COLUMN(C39:BJ39)-COLUMN(BN39),2)=0))</f>
        <v>#NAME?</v>
      </c>
      <c r="BM39" s="16"/>
      <c r="BN39" s="16"/>
      <c r="BO39" s="14"/>
      <c r="BP39" s="16"/>
      <c r="BQ39" s="16"/>
      <c r="BR39" s="16"/>
    </row>
    <row r="40" ht="14.25" customHeight="1">
      <c r="A40" s="20"/>
      <c r="B40" s="14" t="s">
        <v>44</v>
      </c>
      <c r="C40" s="16">
        <v>50.0</v>
      </c>
      <c r="D40" s="21" t="s">
        <v>45</v>
      </c>
      <c r="E40" s="17">
        <v>65.0</v>
      </c>
      <c r="F40" s="16" t="s">
        <v>46</v>
      </c>
      <c r="G40" s="14">
        <v>75.0</v>
      </c>
      <c r="H40" s="16" t="s">
        <v>47</v>
      </c>
      <c r="I40" s="14">
        <v>75.0</v>
      </c>
      <c r="J40" s="16" t="s">
        <v>141</v>
      </c>
      <c r="K40" s="14">
        <v>75.0</v>
      </c>
      <c r="L40" s="16" t="s">
        <v>49</v>
      </c>
      <c r="M40" s="14">
        <v>75.0</v>
      </c>
      <c r="N40" s="16" t="s">
        <v>49</v>
      </c>
      <c r="O40" s="22">
        <v>85.0</v>
      </c>
      <c r="P40" s="16" t="s">
        <v>142</v>
      </c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4">
        <f t="shared" si="1"/>
        <v>71.42857143</v>
      </c>
      <c r="BL40" s="18" t="str">
        <f t="array" ref="BL40">TEXTJOIN(" ", TRUE, _xlws.FILTER(C40:BJ40, MOD(COLUMN(C40:BJ40)-COLUMN(BN40),2)=0))</f>
        <v>#NAME?</v>
      </c>
      <c r="BM40" s="16"/>
      <c r="BN40" s="16"/>
      <c r="BO40" s="14"/>
      <c r="BP40" s="16"/>
      <c r="BQ40" s="16"/>
      <c r="BR40" s="16"/>
    </row>
    <row r="41" ht="14.25" customHeight="1">
      <c r="A41" s="20"/>
      <c r="B41" s="14" t="s">
        <v>51</v>
      </c>
      <c r="C41" s="14">
        <v>50.0</v>
      </c>
      <c r="D41" s="21" t="s">
        <v>52</v>
      </c>
      <c r="E41" s="14">
        <v>50.0</v>
      </c>
      <c r="F41" s="16" t="s">
        <v>53</v>
      </c>
      <c r="G41" s="14">
        <v>75.0</v>
      </c>
      <c r="H41" s="16" t="s">
        <v>54</v>
      </c>
      <c r="I41" s="17">
        <v>65.0</v>
      </c>
      <c r="J41" s="16" t="s">
        <v>143</v>
      </c>
      <c r="K41" s="14">
        <v>75.0</v>
      </c>
      <c r="L41" s="16" t="s">
        <v>56</v>
      </c>
      <c r="M41" s="14">
        <v>75.0</v>
      </c>
      <c r="N41" s="16" t="s">
        <v>56</v>
      </c>
      <c r="O41" s="23">
        <v>90.0</v>
      </c>
      <c r="P41" s="16" t="s">
        <v>144</v>
      </c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4">
        <f t="shared" si="1"/>
        <v>68.57142857</v>
      </c>
      <c r="BL41" s="18" t="str">
        <f t="array" ref="BL41">TEXTJOIN(" ", TRUE, _xlws.FILTER(C41:BJ41, MOD(COLUMN(C41:BJ41)-COLUMN(BN41),2)=0))</f>
        <v>#NAME?</v>
      </c>
      <c r="BM41" s="16"/>
      <c r="BN41" s="16"/>
      <c r="BO41" s="14"/>
      <c r="BP41" s="16"/>
      <c r="BQ41" s="16"/>
      <c r="BR41" s="16"/>
    </row>
    <row r="42" ht="14.25" customHeight="1">
      <c r="A42" s="20"/>
      <c r="B42" s="14" t="s">
        <v>58</v>
      </c>
      <c r="C42" s="14">
        <v>25.0</v>
      </c>
      <c r="D42" s="21" t="s">
        <v>118</v>
      </c>
      <c r="E42" s="17">
        <v>65.0</v>
      </c>
      <c r="F42" s="21" t="s">
        <v>94</v>
      </c>
      <c r="G42" s="14">
        <v>75.0</v>
      </c>
      <c r="H42" s="16" t="s">
        <v>145</v>
      </c>
      <c r="I42" s="14"/>
      <c r="J42" s="16"/>
      <c r="K42" s="14">
        <v>50.0</v>
      </c>
      <c r="L42" s="16" t="s">
        <v>69</v>
      </c>
      <c r="M42" s="25">
        <v>55.0</v>
      </c>
      <c r="N42" s="16" t="s">
        <v>122</v>
      </c>
      <c r="O42" s="23">
        <v>90.0</v>
      </c>
      <c r="P42" s="16" t="s">
        <v>84</v>
      </c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4">
        <f t="shared" si="1"/>
        <v>60</v>
      </c>
      <c r="BL42" s="18" t="str">
        <f t="array" ref="BL42">TEXTJOIN(" ", TRUE, _xlws.FILTER(C42:BJ42, MOD(COLUMN(C42:BJ42)-COLUMN(BN42),2)=0))</f>
        <v>#NAME?</v>
      </c>
      <c r="BM42" s="16"/>
      <c r="BN42" s="16"/>
      <c r="BO42" s="14"/>
      <c r="BP42" s="16"/>
      <c r="BQ42" s="16"/>
      <c r="BR42" s="16"/>
    </row>
    <row r="43" ht="14.25" customHeight="1">
      <c r="A43" s="20"/>
      <c r="B43" s="14" t="s">
        <v>65</v>
      </c>
      <c r="C43" s="16"/>
      <c r="D43" s="21" t="s">
        <v>66</v>
      </c>
      <c r="E43" s="14">
        <v>50.0</v>
      </c>
      <c r="F43" s="29" t="s">
        <v>146</v>
      </c>
      <c r="G43" s="14">
        <v>50.0</v>
      </c>
      <c r="H43" s="16" t="s">
        <v>100</v>
      </c>
      <c r="I43" s="17">
        <v>65.0</v>
      </c>
      <c r="J43" s="16" t="s">
        <v>147</v>
      </c>
      <c r="K43" s="14">
        <v>50.0</v>
      </c>
      <c r="L43" s="16" t="s">
        <v>148</v>
      </c>
      <c r="M43" s="16" t="s">
        <v>59</v>
      </c>
      <c r="N43" s="16" t="s">
        <v>59</v>
      </c>
      <c r="O43" s="23">
        <v>90.0</v>
      </c>
      <c r="P43" s="16" t="s">
        <v>149</v>
      </c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4">
        <f t="shared" si="1"/>
        <v>61</v>
      </c>
      <c r="BL43" s="18" t="str">
        <f t="array" ref="BL43">TEXTJOIN(" ", TRUE, _xlws.FILTER(C43:BJ43, MOD(COLUMN(C43:BJ43)-COLUMN(BN43),2)=0))</f>
        <v>#NAME?</v>
      </c>
      <c r="BM43" s="16"/>
      <c r="BN43" s="16"/>
      <c r="BO43" s="14"/>
      <c r="BP43" s="16"/>
      <c r="BQ43" s="16"/>
      <c r="BR43" s="16"/>
    </row>
    <row r="44" ht="14.25" customHeight="1">
      <c r="A44" s="24"/>
      <c r="B44" s="14" t="s">
        <v>72</v>
      </c>
      <c r="C44" s="16"/>
      <c r="D44" s="21"/>
      <c r="E44" s="16"/>
      <c r="F44" s="16"/>
      <c r="G44" s="14"/>
      <c r="H44" s="16"/>
      <c r="I44" s="16"/>
      <c r="J44" s="16"/>
      <c r="K44" s="14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4" t="str">
        <f t="shared" si="1"/>
        <v/>
      </c>
      <c r="BL44" s="18" t="str">
        <f t="array" ref="BL44">TEXTJOIN(" ", TRUE, _xlws.FILTER(C44:BJ44, MOD(COLUMN(C44:BJ44)-COLUMN(BN44),2)=0))</f>
        <v>#NAME?</v>
      </c>
      <c r="BM44" s="16"/>
      <c r="BN44" s="16"/>
      <c r="BO44" s="14"/>
      <c r="BP44" s="16"/>
      <c r="BQ44" s="16"/>
      <c r="BR44" s="16"/>
    </row>
    <row r="45" ht="14.25" customHeight="1">
      <c r="A45" s="13" t="s">
        <v>150</v>
      </c>
      <c r="B45" s="14" t="s">
        <v>42</v>
      </c>
      <c r="C45" s="16"/>
      <c r="D45" s="21"/>
      <c r="E45" s="16"/>
      <c r="F45" s="16"/>
      <c r="G45" s="14"/>
      <c r="H45" s="16"/>
      <c r="I45" s="16">
        <v>79.0</v>
      </c>
      <c r="J45" s="16" t="s">
        <v>151</v>
      </c>
      <c r="K45" s="14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4">
        <f t="shared" si="1"/>
        <v>79</v>
      </c>
      <c r="BL45" s="18" t="str">
        <f t="array" ref="BL45">TEXTJOIN(" ", TRUE, _xlws.FILTER(C45:BJ45, MOD(COLUMN(C45:BJ45)-COLUMN(BN45),2)=0))</f>
        <v>#NAME?</v>
      </c>
      <c r="BM45" s="16"/>
      <c r="BN45" s="16"/>
      <c r="BO45" s="14"/>
      <c r="BP45" s="16"/>
      <c r="BQ45" s="16"/>
      <c r="BR45" s="16"/>
    </row>
    <row r="46" ht="14.25" customHeight="1">
      <c r="A46" s="20"/>
      <c r="B46" s="14" t="s">
        <v>44</v>
      </c>
      <c r="C46" s="14">
        <v>50.0</v>
      </c>
      <c r="D46" s="21" t="s">
        <v>45</v>
      </c>
      <c r="E46" s="17">
        <v>65.0</v>
      </c>
      <c r="F46" s="16" t="s">
        <v>46</v>
      </c>
      <c r="G46" s="14">
        <v>75.0</v>
      </c>
      <c r="H46" s="16" t="s">
        <v>47</v>
      </c>
      <c r="I46" s="16"/>
      <c r="J46" s="16"/>
      <c r="K46" s="14">
        <v>75.0</v>
      </c>
      <c r="L46" s="16" t="s">
        <v>49</v>
      </c>
      <c r="M46" s="14">
        <v>75.0</v>
      </c>
      <c r="N46" s="16" t="s">
        <v>49</v>
      </c>
      <c r="O46" s="30">
        <v>95.0</v>
      </c>
      <c r="P46" s="16" t="s">
        <v>152</v>
      </c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4">
        <f t="shared" si="1"/>
        <v>72.5</v>
      </c>
      <c r="BL46" s="18" t="str">
        <f t="array" ref="BL46">TEXTJOIN(" ", TRUE, _xlws.FILTER(C46:BJ46, MOD(COLUMN(C46:BJ46)-COLUMN(BN46),2)=0))</f>
        <v>#NAME?</v>
      </c>
      <c r="BM46" s="16"/>
      <c r="BN46" s="16"/>
      <c r="BO46" s="14"/>
      <c r="BP46" s="16"/>
      <c r="BQ46" s="16"/>
      <c r="BR46" s="16"/>
    </row>
    <row r="47" ht="14.25" customHeight="1">
      <c r="A47" s="20"/>
      <c r="B47" s="14" t="s">
        <v>51</v>
      </c>
      <c r="C47" s="14">
        <v>50.0</v>
      </c>
      <c r="D47" s="21" t="s">
        <v>52</v>
      </c>
      <c r="E47" s="14">
        <v>50.0</v>
      </c>
      <c r="F47" s="16" t="s">
        <v>53</v>
      </c>
      <c r="G47" s="14">
        <v>75.0</v>
      </c>
      <c r="H47" s="16" t="s">
        <v>54</v>
      </c>
      <c r="I47" s="16"/>
      <c r="J47" s="16"/>
      <c r="K47" s="14">
        <v>75.0</v>
      </c>
      <c r="L47" s="16" t="s">
        <v>56</v>
      </c>
      <c r="M47" s="14">
        <v>75.0</v>
      </c>
      <c r="N47" s="16" t="s">
        <v>56</v>
      </c>
      <c r="O47" s="22">
        <v>85.0</v>
      </c>
      <c r="P47" s="16" t="s">
        <v>93</v>
      </c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4">
        <f t="shared" si="1"/>
        <v>68.33333333</v>
      </c>
      <c r="BL47" s="18" t="str">
        <f t="array" ref="BL47">TEXTJOIN(" ", TRUE, _xlws.FILTER(C47:BJ47, MOD(COLUMN(C47:BJ47)-COLUMN(BN47),2)=0))</f>
        <v>#NAME?</v>
      </c>
      <c r="BM47" s="16"/>
      <c r="BN47" s="16"/>
      <c r="BO47" s="14"/>
      <c r="BP47" s="16"/>
      <c r="BQ47" s="16"/>
      <c r="BR47" s="16"/>
    </row>
    <row r="48" ht="14.25" customHeight="1">
      <c r="A48" s="20"/>
      <c r="B48" s="14" t="s">
        <v>58</v>
      </c>
      <c r="C48" s="14">
        <v>50.0</v>
      </c>
      <c r="D48" s="21" t="s">
        <v>153</v>
      </c>
      <c r="E48" s="17">
        <v>65.0</v>
      </c>
      <c r="F48" s="21" t="s">
        <v>108</v>
      </c>
      <c r="G48" s="14">
        <v>75.0</v>
      </c>
      <c r="H48" s="16" t="s">
        <v>154</v>
      </c>
      <c r="I48" s="16"/>
      <c r="J48" s="16"/>
      <c r="K48" s="17">
        <v>65.0</v>
      </c>
      <c r="L48" s="16" t="s">
        <v>62</v>
      </c>
      <c r="M48" s="16">
        <v>50.0</v>
      </c>
      <c r="N48" s="16" t="s">
        <v>155</v>
      </c>
      <c r="O48" s="23">
        <v>90.0</v>
      </c>
      <c r="P48" s="16" t="s">
        <v>156</v>
      </c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4">
        <f t="shared" si="1"/>
        <v>65.83333333</v>
      </c>
      <c r="BL48" s="18" t="str">
        <f t="array" ref="BL48">TEXTJOIN(" ", TRUE, _xlws.FILTER(C48:BJ48, MOD(COLUMN(C48:BJ48)-COLUMN(BN48),2)=0))</f>
        <v>#NAME?</v>
      </c>
      <c r="BM48" s="16"/>
      <c r="BN48" s="16"/>
      <c r="BO48" s="14"/>
      <c r="BP48" s="16"/>
      <c r="BQ48" s="16"/>
      <c r="BR48" s="16"/>
    </row>
    <row r="49" ht="14.25" customHeight="1">
      <c r="A49" s="20"/>
      <c r="B49" s="14" t="s">
        <v>65</v>
      </c>
      <c r="C49" s="16"/>
      <c r="D49" s="21" t="s">
        <v>66</v>
      </c>
      <c r="E49" s="14">
        <v>50.0</v>
      </c>
      <c r="F49" s="16" t="s">
        <v>67</v>
      </c>
      <c r="G49" s="14">
        <v>50.0</v>
      </c>
      <c r="H49" s="16" t="s">
        <v>157</v>
      </c>
      <c r="I49" s="16"/>
      <c r="J49" s="16"/>
      <c r="K49" s="14">
        <v>50.0</v>
      </c>
      <c r="L49" s="16" t="s">
        <v>157</v>
      </c>
      <c r="M49" s="17">
        <v>65.0</v>
      </c>
      <c r="N49" s="16" t="s">
        <v>158</v>
      </c>
      <c r="O49" s="30">
        <v>95.0</v>
      </c>
      <c r="P49" s="16" t="s">
        <v>159</v>
      </c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4">
        <f t="shared" si="1"/>
        <v>62</v>
      </c>
      <c r="BL49" s="18" t="str">
        <f t="array" ref="BL49">TEXTJOIN(" ", TRUE, _xlws.FILTER(C49:BJ49, MOD(COLUMN(C49:BJ49)-COLUMN(BN49),2)=0))</f>
        <v>#NAME?</v>
      </c>
      <c r="BM49" s="16"/>
      <c r="BN49" s="16"/>
      <c r="BO49" s="14"/>
      <c r="BP49" s="16"/>
      <c r="BQ49" s="16"/>
      <c r="BR49" s="16"/>
    </row>
    <row r="50" ht="14.25" customHeight="1">
      <c r="A50" s="24"/>
      <c r="B50" s="14" t="s">
        <v>72</v>
      </c>
      <c r="C50" s="16"/>
      <c r="D50" s="21"/>
      <c r="E50" s="16"/>
      <c r="F50" s="16"/>
      <c r="G50" s="14"/>
      <c r="H50" s="16"/>
      <c r="I50" s="16"/>
      <c r="J50" s="16"/>
      <c r="K50" s="14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4" t="str">
        <f t="shared" si="1"/>
        <v/>
      </c>
      <c r="BL50" s="18" t="str">
        <f t="array" ref="BL50">TEXTJOIN(" ", TRUE, _xlws.FILTER(C50:BJ50, MOD(COLUMN(C50:BJ50)-COLUMN(BN50),2)=0))</f>
        <v>#NAME?</v>
      </c>
      <c r="BM50" s="16"/>
      <c r="BN50" s="16"/>
      <c r="BO50" s="14"/>
      <c r="BP50" s="16"/>
      <c r="BQ50" s="16"/>
      <c r="BR50" s="16"/>
    </row>
    <row r="51" ht="14.25" customHeight="1">
      <c r="A51" s="13" t="s">
        <v>160</v>
      </c>
      <c r="B51" s="14" t="s">
        <v>42</v>
      </c>
      <c r="C51" s="16"/>
      <c r="D51" s="21"/>
      <c r="E51" s="16"/>
      <c r="F51" s="16"/>
      <c r="G51" s="14"/>
      <c r="H51" s="16"/>
      <c r="I51" s="16">
        <v>73.0</v>
      </c>
      <c r="J51" s="16" t="s">
        <v>161</v>
      </c>
      <c r="K51" s="14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4">
        <f t="shared" si="1"/>
        <v>73</v>
      </c>
      <c r="BL51" s="18" t="str">
        <f t="array" ref="BL51">TEXTJOIN(" ", TRUE, _xlws.FILTER(C51:BJ51, MOD(COLUMN(C51:BJ51)-COLUMN(BN51),2)=0))</f>
        <v>#NAME?</v>
      </c>
      <c r="BM51" s="16"/>
      <c r="BN51" s="16"/>
      <c r="BO51" s="14"/>
      <c r="BP51" s="16"/>
      <c r="BQ51" s="16"/>
      <c r="BR51" s="16"/>
    </row>
    <row r="52" ht="14.25" customHeight="1">
      <c r="A52" s="20"/>
      <c r="B52" s="14" t="s">
        <v>44</v>
      </c>
      <c r="C52" s="14">
        <v>50.0</v>
      </c>
      <c r="D52" s="21" t="s">
        <v>45</v>
      </c>
      <c r="E52" s="17">
        <v>65.0</v>
      </c>
      <c r="F52" s="16" t="s">
        <v>46</v>
      </c>
      <c r="G52" s="14">
        <v>75.0</v>
      </c>
      <c r="H52" s="16" t="s">
        <v>47</v>
      </c>
      <c r="I52" s="16"/>
      <c r="J52" s="16"/>
      <c r="K52" s="14">
        <v>75.0</v>
      </c>
      <c r="L52" s="16" t="s">
        <v>49</v>
      </c>
      <c r="M52" s="14">
        <v>75.0</v>
      </c>
      <c r="N52" s="16" t="s">
        <v>49</v>
      </c>
      <c r="O52" s="23">
        <v>90.0</v>
      </c>
      <c r="P52" s="16" t="s">
        <v>162</v>
      </c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4">
        <f t="shared" si="1"/>
        <v>71.66666667</v>
      </c>
      <c r="BL52" s="18" t="str">
        <f t="array" ref="BL52">TEXTJOIN(" ", TRUE, _xlws.FILTER(C52:BJ52, MOD(COLUMN(C52:BJ52)-COLUMN(BN52),2)=0))</f>
        <v>#NAME?</v>
      </c>
      <c r="BM52" s="16"/>
      <c r="BN52" s="16"/>
      <c r="BO52" s="14"/>
      <c r="BP52" s="16"/>
      <c r="BQ52" s="16"/>
      <c r="BR52" s="16"/>
    </row>
    <row r="53" ht="14.25" customHeight="1">
      <c r="A53" s="20"/>
      <c r="B53" s="14" t="s">
        <v>51</v>
      </c>
      <c r="C53" s="14">
        <v>50.0</v>
      </c>
      <c r="D53" s="21" t="s">
        <v>52</v>
      </c>
      <c r="E53" s="14">
        <v>50.0</v>
      </c>
      <c r="F53" s="16" t="s">
        <v>53</v>
      </c>
      <c r="G53" s="14">
        <v>75.0</v>
      </c>
      <c r="H53" s="16" t="s">
        <v>54</v>
      </c>
      <c r="I53" s="16" t="s">
        <v>59</v>
      </c>
      <c r="J53" s="16" t="s">
        <v>163</v>
      </c>
      <c r="K53" s="14">
        <v>75.0</v>
      </c>
      <c r="L53" s="16" t="s">
        <v>56</v>
      </c>
      <c r="M53" s="14">
        <v>75.0</v>
      </c>
      <c r="N53" s="16" t="s">
        <v>56</v>
      </c>
      <c r="O53" s="22">
        <v>85.0</v>
      </c>
      <c r="P53" s="16" t="s">
        <v>93</v>
      </c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4">
        <f t="shared" si="1"/>
        <v>68.33333333</v>
      </c>
      <c r="BL53" s="18" t="str">
        <f t="array" ref="BL53">TEXTJOIN(" ", TRUE, _xlws.FILTER(C53:BJ53, MOD(COLUMN(C53:BJ53)-COLUMN(BN53),2)=0))</f>
        <v>#NAME?</v>
      </c>
      <c r="BM53" s="16"/>
      <c r="BN53" s="16"/>
      <c r="BO53" s="14"/>
      <c r="BP53" s="16"/>
      <c r="BQ53" s="16"/>
      <c r="BR53" s="16"/>
    </row>
    <row r="54" ht="14.25" customHeight="1">
      <c r="A54" s="20"/>
      <c r="B54" s="14" t="s">
        <v>58</v>
      </c>
      <c r="C54" s="14">
        <v>50.0</v>
      </c>
      <c r="D54" s="21" t="s">
        <v>164</v>
      </c>
      <c r="E54" s="17">
        <v>65.0</v>
      </c>
      <c r="F54" s="21" t="s">
        <v>109</v>
      </c>
      <c r="G54" s="17">
        <v>65.0</v>
      </c>
      <c r="H54" s="16" t="s">
        <v>165</v>
      </c>
      <c r="I54" s="16"/>
      <c r="J54" s="16"/>
      <c r="K54" s="14">
        <v>75.0</v>
      </c>
      <c r="L54" s="16" t="s">
        <v>166</v>
      </c>
      <c r="M54" s="17">
        <v>65.0</v>
      </c>
      <c r="N54" s="16" t="s">
        <v>80</v>
      </c>
      <c r="O54" s="23">
        <v>90.0</v>
      </c>
      <c r="P54" s="16" t="s">
        <v>167</v>
      </c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4">
        <f t="shared" si="1"/>
        <v>68.33333333</v>
      </c>
      <c r="BL54" s="18" t="str">
        <f t="array" ref="BL54">TEXTJOIN(" ", TRUE, _xlws.FILTER(C54:BJ54, MOD(COLUMN(C54:BJ54)-COLUMN(BN54),2)=0))</f>
        <v>#NAME?</v>
      </c>
      <c r="BM54" s="16"/>
      <c r="BN54" s="16"/>
      <c r="BO54" s="14"/>
      <c r="BP54" s="16"/>
      <c r="BQ54" s="16"/>
      <c r="BR54" s="16"/>
    </row>
    <row r="55" ht="14.25" customHeight="1">
      <c r="A55" s="20"/>
      <c r="B55" s="14" t="s">
        <v>65</v>
      </c>
      <c r="C55" s="16"/>
      <c r="D55" s="21" t="s">
        <v>66</v>
      </c>
      <c r="E55" s="14">
        <v>50.0</v>
      </c>
      <c r="F55" s="16" t="s">
        <v>168</v>
      </c>
      <c r="G55" s="14">
        <v>50.0</v>
      </c>
      <c r="H55" s="16" t="s">
        <v>169</v>
      </c>
      <c r="I55" s="16"/>
      <c r="J55" s="16"/>
      <c r="K55" s="14">
        <v>50.0</v>
      </c>
      <c r="L55" s="16" t="s">
        <v>69</v>
      </c>
      <c r="M55" s="16">
        <v>50.0</v>
      </c>
      <c r="N55" s="16" t="s">
        <v>100</v>
      </c>
      <c r="O55" s="22">
        <v>85.0</v>
      </c>
      <c r="P55" s="16" t="s">
        <v>170</v>
      </c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4">
        <f t="shared" si="1"/>
        <v>57</v>
      </c>
      <c r="BL55" s="18" t="str">
        <f t="array" ref="BL55">TEXTJOIN(" ", TRUE, _xlws.FILTER(C55:BJ55, MOD(COLUMN(C55:BJ55)-COLUMN(BN55),2)=0))</f>
        <v>#NAME?</v>
      </c>
      <c r="BM55" s="16"/>
      <c r="BN55" s="16"/>
      <c r="BO55" s="14"/>
      <c r="BP55" s="16"/>
      <c r="BQ55" s="16"/>
      <c r="BR55" s="16"/>
    </row>
    <row r="56" ht="14.25" customHeight="1">
      <c r="A56" s="24"/>
      <c r="B56" s="14" t="s">
        <v>72</v>
      </c>
      <c r="C56" s="16"/>
      <c r="D56" s="21"/>
      <c r="E56" s="16"/>
      <c r="F56" s="16"/>
      <c r="G56" s="14"/>
      <c r="H56" s="16"/>
      <c r="I56" s="16"/>
      <c r="J56" s="16"/>
      <c r="K56" s="14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4" t="str">
        <f t="shared" si="1"/>
        <v/>
      </c>
      <c r="BL56" s="18" t="str">
        <f t="array" ref="BL56">TEXTJOIN(" ", TRUE, _xlws.FILTER(C56:BJ56, MOD(COLUMN(C56:BJ56)-COLUMN(BN56),2)=0))</f>
        <v>#NAME?</v>
      </c>
      <c r="BM56" s="16"/>
      <c r="BN56" s="16"/>
      <c r="BO56" s="14"/>
      <c r="BP56" s="16"/>
      <c r="BQ56" s="16"/>
      <c r="BR56" s="16"/>
    </row>
    <row r="57" ht="14.25" customHeight="1">
      <c r="A57" s="13" t="s">
        <v>171</v>
      </c>
      <c r="B57" s="14" t="s">
        <v>42</v>
      </c>
      <c r="C57" s="16"/>
      <c r="D57" s="21"/>
      <c r="E57" s="16"/>
      <c r="F57" s="16"/>
      <c r="G57" s="14"/>
      <c r="H57" s="16"/>
      <c r="I57" s="14">
        <v>95.0</v>
      </c>
      <c r="J57" s="16" t="s">
        <v>172</v>
      </c>
      <c r="K57" s="14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4">
        <f t="shared" si="1"/>
        <v>95</v>
      </c>
      <c r="BL57" s="18" t="str">
        <f t="array" ref="BL57">TEXTJOIN(" ", TRUE, _xlws.FILTER(C57:BJ57, MOD(COLUMN(C57:BJ57)-COLUMN(BN57),2)=0))</f>
        <v>#NAME?</v>
      </c>
      <c r="BM57" s="16"/>
      <c r="BN57" s="16"/>
      <c r="BO57" s="14"/>
      <c r="BP57" s="16"/>
      <c r="BQ57" s="16"/>
      <c r="BR57" s="16"/>
    </row>
    <row r="58" ht="14.25" customHeight="1">
      <c r="A58" s="20"/>
      <c r="B58" s="14" t="s">
        <v>44</v>
      </c>
      <c r="C58" s="14">
        <v>50.0</v>
      </c>
      <c r="D58" s="21" t="s">
        <v>45</v>
      </c>
      <c r="E58" s="17">
        <v>65.0</v>
      </c>
      <c r="F58" s="16" t="s">
        <v>46</v>
      </c>
      <c r="G58" s="14">
        <v>75.0</v>
      </c>
      <c r="H58" s="16" t="s">
        <v>47</v>
      </c>
      <c r="I58" s="14">
        <v>75.0</v>
      </c>
      <c r="J58" s="16" t="s">
        <v>173</v>
      </c>
      <c r="K58" s="14">
        <v>75.0</v>
      </c>
      <c r="L58" s="16" t="s">
        <v>49</v>
      </c>
      <c r="M58" s="14">
        <v>75.0</v>
      </c>
      <c r="N58" s="16" t="s">
        <v>49</v>
      </c>
      <c r="O58" s="23">
        <v>90.0</v>
      </c>
      <c r="P58" s="16" t="s">
        <v>174</v>
      </c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4">
        <f t="shared" si="1"/>
        <v>72.14285714</v>
      </c>
      <c r="BL58" s="18" t="str">
        <f t="array" ref="BL58">TEXTJOIN(" ", TRUE, _xlws.FILTER(C58:BJ58, MOD(COLUMN(C58:BJ58)-COLUMN(BN58),2)=0))</f>
        <v>#NAME?</v>
      </c>
      <c r="BM58" s="16"/>
      <c r="BN58" s="16"/>
      <c r="BO58" s="14"/>
      <c r="BP58" s="16"/>
      <c r="BQ58" s="16"/>
      <c r="BR58" s="16"/>
    </row>
    <row r="59" ht="14.25" customHeight="1">
      <c r="A59" s="20"/>
      <c r="B59" s="14" t="s">
        <v>51</v>
      </c>
      <c r="C59" s="14">
        <v>50.0</v>
      </c>
      <c r="D59" s="21" t="s">
        <v>52</v>
      </c>
      <c r="E59" s="14">
        <v>50.0</v>
      </c>
      <c r="F59" s="16" t="s">
        <v>53</v>
      </c>
      <c r="G59" s="14">
        <v>75.0</v>
      </c>
      <c r="H59" s="16" t="s">
        <v>54</v>
      </c>
      <c r="I59" s="14">
        <v>75.0</v>
      </c>
      <c r="J59" s="16" t="s">
        <v>175</v>
      </c>
      <c r="K59" s="14">
        <v>75.0</v>
      </c>
      <c r="L59" s="16" t="s">
        <v>56</v>
      </c>
      <c r="M59" s="14">
        <v>75.0</v>
      </c>
      <c r="N59" s="16" t="s">
        <v>56</v>
      </c>
      <c r="O59" s="23">
        <v>90.0</v>
      </c>
      <c r="P59" s="16" t="s">
        <v>176</v>
      </c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4">
        <f t="shared" si="1"/>
        <v>70</v>
      </c>
      <c r="BL59" s="18" t="str">
        <f t="array" ref="BL59">TEXTJOIN(" ", TRUE, _xlws.FILTER(C59:BJ59, MOD(COLUMN(C59:BJ59)-COLUMN(BN59),2)=0))</f>
        <v>#NAME?</v>
      </c>
      <c r="BM59" s="16"/>
      <c r="BN59" s="16"/>
      <c r="BO59" s="14"/>
      <c r="BP59" s="16"/>
      <c r="BQ59" s="16"/>
      <c r="BR59" s="16"/>
    </row>
    <row r="60" ht="14.25" customHeight="1">
      <c r="A60" s="20"/>
      <c r="B60" s="14" t="s">
        <v>58</v>
      </c>
      <c r="C60" s="14">
        <v>50.0</v>
      </c>
      <c r="D60" s="21" t="s">
        <v>177</v>
      </c>
      <c r="E60" s="17">
        <v>65.0</v>
      </c>
      <c r="F60" s="21" t="s">
        <v>121</v>
      </c>
      <c r="G60" s="17">
        <v>65.0</v>
      </c>
      <c r="H60" s="16" t="s">
        <v>120</v>
      </c>
      <c r="I60" s="14"/>
      <c r="J60" s="16"/>
      <c r="K60" s="17">
        <v>65.0</v>
      </c>
      <c r="L60" s="16" t="s">
        <v>62</v>
      </c>
      <c r="M60" s="17">
        <v>65.0</v>
      </c>
      <c r="N60" s="16" t="s">
        <v>64</v>
      </c>
      <c r="O60" s="23">
        <v>90.0</v>
      </c>
      <c r="P60" s="16" t="s">
        <v>178</v>
      </c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4">
        <f t="shared" si="1"/>
        <v>66.66666667</v>
      </c>
      <c r="BL60" s="18" t="str">
        <f t="array" ref="BL60">TEXTJOIN(" ", TRUE, _xlws.FILTER(C60:BJ60, MOD(COLUMN(C60:BJ60)-COLUMN(BN60),2)=0))</f>
        <v>#NAME?</v>
      </c>
      <c r="BM60" s="16"/>
      <c r="BN60" s="16"/>
      <c r="BO60" s="14"/>
      <c r="BP60" s="16"/>
      <c r="BQ60" s="16"/>
      <c r="BR60" s="16"/>
    </row>
    <row r="61" ht="14.25" customHeight="1">
      <c r="A61" s="20"/>
      <c r="B61" s="14" t="s">
        <v>65</v>
      </c>
      <c r="C61" s="16"/>
      <c r="D61" s="21" t="s">
        <v>66</v>
      </c>
      <c r="E61" s="14">
        <v>50.0</v>
      </c>
      <c r="F61" s="16" t="s">
        <v>126</v>
      </c>
      <c r="G61" s="14">
        <v>50.0</v>
      </c>
      <c r="H61" s="16" t="s">
        <v>179</v>
      </c>
      <c r="I61" s="17">
        <v>65.0</v>
      </c>
      <c r="J61" s="16" t="s">
        <v>180</v>
      </c>
      <c r="K61" s="17">
        <v>65.0</v>
      </c>
      <c r="L61" s="16" t="s">
        <v>181</v>
      </c>
      <c r="M61" s="16">
        <v>50.0</v>
      </c>
      <c r="N61" s="16" t="s">
        <v>138</v>
      </c>
      <c r="O61" s="30">
        <v>95.0</v>
      </c>
      <c r="P61" s="16" t="s">
        <v>182</v>
      </c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4">
        <f t="shared" si="1"/>
        <v>62.5</v>
      </c>
      <c r="BL61" s="18" t="str">
        <f t="array" ref="BL61">TEXTJOIN(" ", TRUE, _xlws.FILTER(C61:BJ61, MOD(COLUMN(C61:BJ61)-COLUMN(BN61),2)=0))</f>
        <v>#NAME?</v>
      </c>
      <c r="BM61" s="16"/>
      <c r="BN61" s="16"/>
      <c r="BO61" s="14"/>
      <c r="BP61" s="16"/>
      <c r="BQ61" s="16"/>
      <c r="BR61" s="16"/>
    </row>
    <row r="62" ht="14.25" customHeight="1">
      <c r="A62" s="24"/>
      <c r="B62" s="14" t="s">
        <v>72</v>
      </c>
      <c r="C62" s="16"/>
      <c r="D62" s="21"/>
      <c r="E62" s="16"/>
      <c r="F62" s="16"/>
      <c r="G62" s="14"/>
      <c r="H62" s="16"/>
      <c r="I62" s="16"/>
      <c r="J62" s="16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4" t="str">
        <f t="shared" si="1"/>
        <v/>
      </c>
      <c r="BL62" s="18" t="str">
        <f t="array" ref="BL62">TEXTJOIN(" ", TRUE, _xlws.FILTER(C62:BJ62, MOD(COLUMN(C62:BJ62)-COLUMN(BN62),2)=0))</f>
        <v>#NAME?</v>
      </c>
      <c r="BM62" s="16"/>
      <c r="BN62" s="16"/>
      <c r="BO62" s="14"/>
      <c r="BP62" s="16"/>
      <c r="BQ62" s="16"/>
      <c r="BR62" s="16"/>
    </row>
    <row r="63" ht="14.25" customHeight="1">
      <c r="A63" s="13" t="s">
        <v>183</v>
      </c>
      <c r="B63" s="14" t="s">
        <v>42</v>
      </c>
      <c r="C63" s="16"/>
      <c r="D63" s="21"/>
      <c r="E63" s="16"/>
      <c r="F63" s="16"/>
      <c r="G63" s="14"/>
      <c r="H63" s="16"/>
      <c r="I63" s="17">
        <v>95.0</v>
      </c>
      <c r="J63" s="16" t="s">
        <v>184</v>
      </c>
      <c r="K63" s="14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4">
        <f t="shared" si="1"/>
        <v>95</v>
      </c>
      <c r="BL63" s="18" t="str">
        <f t="array" ref="BL63">TEXTJOIN(" ", TRUE, _xlws.FILTER(C63:BJ63, MOD(COLUMN(C63:BJ63)-COLUMN(BN63),2)=0))</f>
        <v>#NAME?</v>
      </c>
      <c r="BM63" s="16"/>
      <c r="BN63" s="16"/>
      <c r="BO63" s="14"/>
      <c r="BP63" s="16"/>
      <c r="BQ63" s="16"/>
      <c r="BR63" s="16"/>
    </row>
    <row r="64" ht="14.25" customHeight="1">
      <c r="A64" s="20"/>
      <c r="B64" s="14" t="s">
        <v>44</v>
      </c>
      <c r="C64" s="14">
        <v>50.0</v>
      </c>
      <c r="D64" s="21" t="s">
        <v>45</v>
      </c>
      <c r="E64" s="17">
        <v>65.0</v>
      </c>
      <c r="F64" s="16" t="s">
        <v>46</v>
      </c>
      <c r="G64" s="14">
        <v>75.0</v>
      </c>
      <c r="H64" s="16" t="s">
        <v>47</v>
      </c>
      <c r="I64" s="14">
        <v>75.0</v>
      </c>
      <c r="J64" s="16" t="s">
        <v>185</v>
      </c>
      <c r="K64" s="14">
        <v>75.0</v>
      </c>
      <c r="L64" s="16" t="s">
        <v>49</v>
      </c>
      <c r="M64" s="14">
        <v>75.0</v>
      </c>
      <c r="N64" s="16" t="s">
        <v>49</v>
      </c>
      <c r="O64" s="23">
        <v>90.0</v>
      </c>
      <c r="P64" s="16" t="s">
        <v>186</v>
      </c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4">
        <f t="shared" si="1"/>
        <v>72.14285714</v>
      </c>
      <c r="BL64" s="18" t="str">
        <f t="array" ref="BL64">TEXTJOIN(" ", TRUE, _xlws.FILTER(C64:BJ64, MOD(COLUMN(C64:BJ64)-COLUMN(BN64),2)=0))</f>
        <v>#NAME?</v>
      </c>
      <c r="BM64" s="16"/>
      <c r="BN64" s="16"/>
      <c r="BO64" s="14"/>
      <c r="BP64" s="16"/>
      <c r="BQ64" s="16"/>
      <c r="BR64" s="16"/>
    </row>
    <row r="65" ht="14.25" customHeight="1">
      <c r="A65" s="20"/>
      <c r="B65" s="14" t="s">
        <v>51</v>
      </c>
      <c r="C65" s="14">
        <v>50.0</v>
      </c>
      <c r="D65" s="21" t="s">
        <v>52</v>
      </c>
      <c r="E65" s="14">
        <v>50.0</v>
      </c>
      <c r="F65" s="16" t="s">
        <v>53</v>
      </c>
      <c r="G65" s="14">
        <v>75.0</v>
      </c>
      <c r="H65" s="16" t="s">
        <v>54</v>
      </c>
      <c r="I65" s="17">
        <v>65.0</v>
      </c>
      <c r="J65" s="16" t="s">
        <v>187</v>
      </c>
      <c r="K65" s="14">
        <v>75.0</v>
      </c>
      <c r="L65" s="16" t="s">
        <v>56</v>
      </c>
      <c r="M65" s="14">
        <v>75.0</v>
      </c>
      <c r="N65" s="16" t="s">
        <v>56</v>
      </c>
      <c r="O65" s="23">
        <v>90.0</v>
      </c>
      <c r="P65" s="16" t="s">
        <v>188</v>
      </c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4">
        <f t="shared" si="1"/>
        <v>68.57142857</v>
      </c>
      <c r="BL65" s="18" t="str">
        <f t="array" ref="BL65">TEXTJOIN(" ", TRUE, _xlws.FILTER(C65:BJ65, MOD(COLUMN(C65:BJ65)-COLUMN(BN65),2)=0))</f>
        <v>#NAME?</v>
      </c>
      <c r="BM65" s="16"/>
      <c r="BN65" s="16"/>
      <c r="BO65" s="14"/>
      <c r="BP65" s="16"/>
      <c r="BQ65" s="16"/>
      <c r="BR65" s="16"/>
    </row>
    <row r="66" ht="14.25" customHeight="1">
      <c r="A66" s="20"/>
      <c r="B66" s="14" t="s">
        <v>58</v>
      </c>
      <c r="C66" s="14">
        <v>50.0</v>
      </c>
      <c r="D66" s="21" t="s">
        <v>109</v>
      </c>
      <c r="E66" s="17">
        <v>65.0</v>
      </c>
      <c r="F66" s="21" t="s">
        <v>177</v>
      </c>
      <c r="G66" s="17">
        <v>65.0</v>
      </c>
      <c r="H66" s="16" t="s">
        <v>189</v>
      </c>
      <c r="I66" s="14">
        <v>75.0</v>
      </c>
      <c r="J66" s="16" t="s">
        <v>190</v>
      </c>
      <c r="K66" s="14">
        <v>75.0</v>
      </c>
      <c r="L66" s="16" t="s">
        <v>109</v>
      </c>
      <c r="M66" s="25">
        <v>55.0</v>
      </c>
      <c r="N66" s="16" t="s">
        <v>109</v>
      </c>
      <c r="O66" s="23">
        <v>90.0</v>
      </c>
      <c r="P66" s="16" t="s">
        <v>84</v>
      </c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4">
        <f t="shared" si="1"/>
        <v>67.85714286</v>
      </c>
      <c r="BL66" s="18" t="str">
        <f t="array" ref="BL66">TEXTJOIN(" ", TRUE, _xlws.FILTER(C66:BJ66, MOD(COLUMN(C66:BJ66)-COLUMN(BN66),2)=0))</f>
        <v>#NAME?</v>
      </c>
      <c r="BM66" s="16"/>
      <c r="BN66" s="16"/>
      <c r="BO66" s="14"/>
      <c r="BP66" s="16"/>
      <c r="BQ66" s="16"/>
      <c r="BR66" s="16"/>
    </row>
    <row r="67" ht="14.25" customHeight="1">
      <c r="A67" s="20"/>
      <c r="B67" s="14" t="s">
        <v>65</v>
      </c>
      <c r="C67" s="16"/>
      <c r="D67" s="21" t="s">
        <v>66</v>
      </c>
      <c r="E67" s="14">
        <v>50.0</v>
      </c>
      <c r="F67" s="16" t="s">
        <v>157</v>
      </c>
      <c r="G67" s="14">
        <v>50.0</v>
      </c>
      <c r="H67" s="16" t="s">
        <v>191</v>
      </c>
      <c r="I67" s="14">
        <v>75.0</v>
      </c>
      <c r="J67" s="16" t="s">
        <v>192</v>
      </c>
      <c r="K67" s="14">
        <v>50.0</v>
      </c>
      <c r="L67" s="16" t="s">
        <v>181</v>
      </c>
      <c r="M67" s="16">
        <v>25.0</v>
      </c>
      <c r="N67" s="16" t="s">
        <v>193</v>
      </c>
      <c r="O67" s="23">
        <v>90.0</v>
      </c>
      <c r="P67" s="16" t="s">
        <v>194</v>
      </c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4">
        <f t="shared" si="1"/>
        <v>56.66666667</v>
      </c>
      <c r="BL67" s="18" t="str">
        <f t="array" ref="BL67">TEXTJOIN(" ", TRUE, _xlws.FILTER(C67:BJ67, MOD(COLUMN(C67:BJ67)-COLUMN(BN67),2)=0))</f>
        <v>#NAME?</v>
      </c>
      <c r="BM67" s="16"/>
      <c r="BN67" s="16"/>
      <c r="BO67" s="14"/>
      <c r="BP67" s="16"/>
      <c r="BQ67" s="16"/>
      <c r="BR67" s="16"/>
    </row>
    <row r="68" ht="14.25" customHeight="1">
      <c r="A68" s="24"/>
      <c r="B68" s="14" t="s">
        <v>72</v>
      </c>
      <c r="C68" s="16"/>
      <c r="D68" s="21"/>
      <c r="E68" s="16"/>
      <c r="F68" s="16"/>
      <c r="G68" s="14"/>
      <c r="H68" s="16"/>
      <c r="I68" s="16"/>
      <c r="J68" s="16"/>
      <c r="K68" s="14"/>
      <c r="L68" s="16"/>
      <c r="M68" s="16"/>
      <c r="N68" s="16"/>
      <c r="O68" s="16">
        <v>100.0</v>
      </c>
      <c r="P68" s="16" t="s">
        <v>195</v>
      </c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4">
        <f t="shared" si="1"/>
        <v>100</v>
      </c>
      <c r="BL68" s="18" t="str">
        <f t="array" ref="BL68">TEXTJOIN(" ", TRUE, _xlws.FILTER(C68:BJ68, MOD(COLUMN(C68:BJ68)-COLUMN(BN68),2)=0))</f>
        <v>#NAME?</v>
      </c>
      <c r="BM68" s="16"/>
      <c r="BN68" s="16"/>
      <c r="BO68" s="14"/>
      <c r="BP68" s="16"/>
      <c r="BQ68" s="16"/>
      <c r="BR68" s="16"/>
    </row>
    <row r="69" ht="14.25" customHeight="1">
      <c r="A69" s="13" t="s">
        <v>196</v>
      </c>
      <c r="B69" s="14" t="s">
        <v>42</v>
      </c>
      <c r="C69" s="16"/>
      <c r="D69" s="21"/>
      <c r="E69" s="16"/>
      <c r="F69" s="16"/>
      <c r="G69" s="14"/>
      <c r="H69" s="16"/>
      <c r="I69" s="17">
        <v>93.0</v>
      </c>
      <c r="J69" s="16" t="s">
        <v>197</v>
      </c>
      <c r="K69" s="14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4">
        <f t="shared" si="1"/>
        <v>93</v>
      </c>
      <c r="BL69" s="18" t="str">
        <f t="array" ref="BL69">TEXTJOIN(" ", TRUE, _xlws.FILTER(C69:BJ69, MOD(COLUMN(C69:BJ69)-COLUMN(BN69),2)=0))</f>
        <v>#NAME?</v>
      </c>
      <c r="BM69" s="16"/>
      <c r="BN69" s="16"/>
      <c r="BO69" s="14"/>
      <c r="BP69" s="16"/>
      <c r="BQ69" s="16"/>
      <c r="BR69" s="16"/>
    </row>
    <row r="70" ht="14.25" customHeight="1">
      <c r="A70" s="20"/>
      <c r="B70" s="14" t="s">
        <v>44</v>
      </c>
      <c r="C70" s="14">
        <v>50.0</v>
      </c>
      <c r="D70" s="21" t="s">
        <v>45</v>
      </c>
      <c r="E70" s="17">
        <v>65.0</v>
      </c>
      <c r="F70" s="16" t="s">
        <v>46</v>
      </c>
      <c r="G70" s="14">
        <v>75.0</v>
      </c>
      <c r="H70" s="16" t="s">
        <v>47</v>
      </c>
      <c r="I70" s="14">
        <v>75.0</v>
      </c>
      <c r="J70" s="16" t="s">
        <v>198</v>
      </c>
      <c r="K70" s="14">
        <v>75.0</v>
      </c>
      <c r="L70" s="16" t="s">
        <v>49</v>
      </c>
      <c r="M70" s="14">
        <v>75.0</v>
      </c>
      <c r="N70" s="16" t="s">
        <v>49</v>
      </c>
      <c r="O70" s="23">
        <v>90.0</v>
      </c>
      <c r="P70" s="16" t="s">
        <v>199</v>
      </c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4">
        <f t="shared" si="1"/>
        <v>72.14285714</v>
      </c>
      <c r="BL70" s="18" t="str">
        <f t="array" ref="BL70">TEXTJOIN(" ", TRUE, _xlws.FILTER(C70:BJ70, MOD(COLUMN(C70:BJ70)-COLUMN(BN70),2)=0))</f>
        <v>#NAME?</v>
      </c>
      <c r="BM70" s="16"/>
      <c r="BN70" s="16"/>
      <c r="BO70" s="14"/>
      <c r="BP70" s="16"/>
      <c r="BQ70" s="16"/>
      <c r="BR70" s="16"/>
    </row>
    <row r="71" ht="14.25" customHeight="1">
      <c r="A71" s="20"/>
      <c r="B71" s="14" t="s">
        <v>51</v>
      </c>
      <c r="C71" s="14">
        <v>50.0</v>
      </c>
      <c r="D71" s="21" t="s">
        <v>52</v>
      </c>
      <c r="E71" s="14">
        <v>50.0</v>
      </c>
      <c r="F71" s="16" t="s">
        <v>53</v>
      </c>
      <c r="G71" s="14">
        <v>75.0</v>
      </c>
      <c r="H71" s="16" t="s">
        <v>54</v>
      </c>
      <c r="I71" s="17">
        <v>65.0</v>
      </c>
      <c r="J71" s="16" t="s">
        <v>134</v>
      </c>
      <c r="K71" s="14">
        <v>75.0</v>
      </c>
      <c r="L71" s="16" t="s">
        <v>56</v>
      </c>
      <c r="M71" s="14">
        <v>75.0</v>
      </c>
      <c r="N71" s="16" t="s">
        <v>56</v>
      </c>
      <c r="O71" s="26">
        <v>80.0</v>
      </c>
      <c r="P71" s="16" t="s">
        <v>93</v>
      </c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4">
        <f t="shared" si="1"/>
        <v>67.14285714</v>
      </c>
      <c r="BL71" s="18" t="str">
        <f t="array" ref="BL71">TEXTJOIN(" ", TRUE, _xlws.FILTER(C71:BJ71, MOD(COLUMN(C71:BJ71)-COLUMN(BN71),2)=0))</f>
        <v>#NAME?</v>
      </c>
      <c r="BM71" s="16"/>
      <c r="BN71" s="16"/>
      <c r="BO71" s="14"/>
      <c r="BP71" s="16"/>
      <c r="BQ71" s="16"/>
      <c r="BR71" s="16"/>
    </row>
    <row r="72" ht="14.25" customHeight="1">
      <c r="A72" s="20"/>
      <c r="B72" s="14" t="s">
        <v>58</v>
      </c>
      <c r="C72" s="14">
        <v>50.0</v>
      </c>
      <c r="D72" s="21" t="s">
        <v>111</v>
      </c>
      <c r="E72" s="17">
        <v>65.0</v>
      </c>
      <c r="F72" s="21" t="s">
        <v>80</v>
      </c>
      <c r="G72" s="17">
        <v>65.0</v>
      </c>
      <c r="H72" s="16" t="s">
        <v>61</v>
      </c>
      <c r="I72" s="14"/>
      <c r="J72" s="16"/>
      <c r="K72" s="17">
        <v>65.0</v>
      </c>
      <c r="L72" s="16" t="s">
        <v>164</v>
      </c>
      <c r="M72" s="25">
        <v>55.0</v>
      </c>
      <c r="N72" s="16" t="s">
        <v>200</v>
      </c>
      <c r="O72" s="22">
        <v>85.0</v>
      </c>
      <c r="P72" s="16" t="s">
        <v>111</v>
      </c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4">
        <f t="shared" si="1"/>
        <v>64.16666667</v>
      </c>
      <c r="BL72" s="18" t="str">
        <f t="array" ref="BL72">TEXTJOIN(" ", TRUE, _xlws.FILTER(C72:BJ72, MOD(COLUMN(C72:BJ72)-COLUMN(BN72),2)=0))</f>
        <v>#NAME?</v>
      </c>
      <c r="BM72" s="16"/>
      <c r="BN72" s="16"/>
      <c r="BO72" s="14"/>
      <c r="BP72" s="16"/>
      <c r="BQ72" s="16"/>
      <c r="BR72" s="16"/>
    </row>
    <row r="73" ht="14.25" customHeight="1">
      <c r="A73" s="20"/>
      <c r="B73" s="14" t="s">
        <v>65</v>
      </c>
      <c r="C73" s="16"/>
      <c r="D73" s="21" t="s">
        <v>66</v>
      </c>
      <c r="E73" s="14">
        <v>50.0</v>
      </c>
      <c r="F73" s="16" t="s">
        <v>67</v>
      </c>
      <c r="G73" s="14">
        <v>50.0</v>
      </c>
      <c r="H73" s="16" t="s">
        <v>201</v>
      </c>
      <c r="I73" s="17">
        <v>65.0</v>
      </c>
      <c r="J73" s="16" t="s">
        <v>202</v>
      </c>
      <c r="K73" s="14">
        <v>50.0</v>
      </c>
      <c r="L73" s="16" t="s">
        <v>157</v>
      </c>
      <c r="M73" s="17">
        <v>65.0</v>
      </c>
      <c r="N73" s="16" t="s">
        <v>203</v>
      </c>
      <c r="O73" s="16">
        <v>75.0</v>
      </c>
      <c r="P73" s="16" t="s">
        <v>101</v>
      </c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4">
        <f t="shared" si="1"/>
        <v>59.16666667</v>
      </c>
      <c r="BL73" s="18" t="str">
        <f t="array" ref="BL73">TEXTJOIN(" ", TRUE, _xlws.FILTER(C73:BJ73, MOD(COLUMN(C73:BJ73)-COLUMN(BN73),2)=0))</f>
        <v>#NAME?</v>
      </c>
      <c r="BM73" s="16"/>
      <c r="BN73" s="16"/>
      <c r="BO73" s="14"/>
      <c r="BP73" s="16"/>
      <c r="BQ73" s="16"/>
      <c r="BR73" s="16"/>
    </row>
    <row r="74" ht="14.25" customHeight="1">
      <c r="A74" s="24"/>
      <c r="B74" s="14" t="s">
        <v>72</v>
      </c>
      <c r="C74" s="16"/>
      <c r="D74" s="21"/>
      <c r="E74" s="16"/>
      <c r="F74" s="16"/>
      <c r="G74" s="14"/>
      <c r="H74" s="16"/>
      <c r="I74" s="16"/>
      <c r="J74" s="16"/>
      <c r="K74" s="14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4" t="str">
        <f t="shared" si="1"/>
        <v/>
      </c>
      <c r="BL74" s="18" t="str">
        <f t="array" ref="BL74">TEXTJOIN(" ", TRUE, _xlws.FILTER(C74:BJ74, MOD(COLUMN(C74:BJ74)-COLUMN(BN74),2)=0))</f>
        <v>#NAME?</v>
      </c>
      <c r="BM74" s="16"/>
      <c r="BN74" s="16"/>
      <c r="BO74" s="14"/>
      <c r="BP74" s="16"/>
      <c r="BQ74" s="16"/>
      <c r="BR74" s="16"/>
    </row>
    <row r="75" ht="14.25" customHeight="1">
      <c r="A75" s="13" t="s">
        <v>204</v>
      </c>
      <c r="B75" s="14" t="s">
        <v>42</v>
      </c>
      <c r="C75" s="16"/>
      <c r="D75" s="21"/>
      <c r="E75" s="16"/>
      <c r="F75" s="16"/>
      <c r="G75" s="14"/>
      <c r="H75" s="16"/>
      <c r="I75" s="14">
        <v>94.0</v>
      </c>
      <c r="J75" s="16" t="s">
        <v>205</v>
      </c>
      <c r="K75" s="14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4">
        <f t="shared" si="1"/>
        <v>94</v>
      </c>
      <c r="BL75" s="18" t="str">
        <f t="array" ref="BL75">TEXTJOIN(" ", TRUE, _xlws.FILTER(C75:BJ75, MOD(COLUMN(C75:BJ75)-COLUMN(BN75),2)=0))</f>
        <v>#NAME?</v>
      </c>
      <c r="BM75" s="16"/>
      <c r="BN75" s="16"/>
      <c r="BO75" s="14"/>
      <c r="BP75" s="16"/>
      <c r="BQ75" s="16"/>
      <c r="BR75" s="16"/>
    </row>
    <row r="76" ht="14.25" customHeight="1">
      <c r="A76" s="20"/>
      <c r="B76" s="14" t="s">
        <v>44</v>
      </c>
      <c r="C76" s="14">
        <v>50.0</v>
      </c>
      <c r="D76" s="21" t="s">
        <v>45</v>
      </c>
      <c r="E76" s="17">
        <v>65.0</v>
      </c>
      <c r="F76" s="16" t="s">
        <v>46</v>
      </c>
      <c r="G76" s="14">
        <v>75.0</v>
      </c>
      <c r="H76" s="16" t="s">
        <v>47</v>
      </c>
      <c r="I76" s="14">
        <v>75.0</v>
      </c>
      <c r="J76" s="16" t="s">
        <v>198</v>
      </c>
      <c r="K76" s="14">
        <v>75.0</v>
      </c>
      <c r="L76" s="16" t="s">
        <v>49</v>
      </c>
      <c r="M76" s="14">
        <v>75.0</v>
      </c>
      <c r="N76" s="16" t="s">
        <v>49</v>
      </c>
      <c r="O76" s="23">
        <v>90.0</v>
      </c>
      <c r="P76" s="16" t="s">
        <v>174</v>
      </c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4">
        <f t="shared" si="1"/>
        <v>72.14285714</v>
      </c>
      <c r="BL76" s="18" t="str">
        <f t="array" ref="BL76">TEXTJOIN(" ", TRUE, _xlws.FILTER(C76:BJ76, MOD(COLUMN(C76:BJ76)-COLUMN(BN76),2)=0))</f>
        <v>#NAME?</v>
      </c>
      <c r="BM76" s="16"/>
      <c r="BN76" s="16"/>
      <c r="BO76" s="14"/>
      <c r="BP76" s="16"/>
      <c r="BQ76" s="16"/>
      <c r="BR76" s="16"/>
    </row>
    <row r="77" ht="14.25" customHeight="1">
      <c r="A77" s="20"/>
      <c r="B77" s="14" t="s">
        <v>51</v>
      </c>
      <c r="C77" s="14">
        <v>50.0</v>
      </c>
      <c r="D77" s="21" t="s">
        <v>52</v>
      </c>
      <c r="E77" s="14">
        <v>50.0</v>
      </c>
      <c r="F77" s="16" t="s">
        <v>53</v>
      </c>
      <c r="G77" s="14">
        <v>75.0</v>
      </c>
      <c r="H77" s="16" t="s">
        <v>54</v>
      </c>
      <c r="I77" s="14">
        <v>75.0</v>
      </c>
      <c r="J77" s="16" t="s">
        <v>206</v>
      </c>
      <c r="K77" s="14">
        <v>75.0</v>
      </c>
      <c r="L77" s="16" t="s">
        <v>56</v>
      </c>
      <c r="M77" s="14">
        <v>75.0</v>
      </c>
      <c r="N77" s="16" t="s">
        <v>56</v>
      </c>
      <c r="O77" s="26">
        <v>80.0</v>
      </c>
      <c r="P77" s="16" t="s">
        <v>93</v>
      </c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4">
        <f t="shared" si="1"/>
        <v>68.57142857</v>
      </c>
      <c r="BL77" s="18" t="str">
        <f t="array" ref="BL77">TEXTJOIN(" ", TRUE, _xlws.FILTER(C77:BJ77, MOD(COLUMN(C77:BJ77)-COLUMN(BN77),2)=0))</f>
        <v>#NAME?</v>
      </c>
      <c r="BM77" s="16"/>
      <c r="BN77" s="16"/>
      <c r="BO77" s="14"/>
      <c r="BP77" s="16"/>
      <c r="BQ77" s="16"/>
      <c r="BR77" s="16"/>
    </row>
    <row r="78" ht="14.25" customHeight="1">
      <c r="A78" s="20"/>
      <c r="B78" s="14" t="s">
        <v>58</v>
      </c>
      <c r="C78" s="14">
        <v>50.0</v>
      </c>
      <c r="D78" s="21" t="s">
        <v>207</v>
      </c>
      <c r="E78" s="17">
        <v>65.0</v>
      </c>
      <c r="F78" s="21" t="s">
        <v>94</v>
      </c>
      <c r="G78" s="17">
        <v>65.0</v>
      </c>
      <c r="H78" s="16" t="s">
        <v>208</v>
      </c>
      <c r="I78" s="14"/>
      <c r="J78" s="16"/>
      <c r="K78" s="17">
        <v>65.0</v>
      </c>
      <c r="L78" s="16" t="s">
        <v>209</v>
      </c>
      <c r="M78" s="26">
        <v>90.0</v>
      </c>
      <c r="N78" s="16" t="s">
        <v>210</v>
      </c>
      <c r="O78" s="22">
        <v>85.0</v>
      </c>
      <c r="P78" s="16" t="s">
        <v>96</v>
      </c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4">
        <f t="shared" si="1"/>
        <v>70</v>
      </c>
      <c r="BL78" s="18" t="str">
        <f t="array" ref="BL78">TEXTJOIN(" ", TRUE, _xlws.FILTER(C78:BJ78, MOD(COLUMN(C78:BJ78)-COLUMN(BN78),2)=0))</f>
        <v>#NAME?</v>
      </c>
      <c r="BM78" s="16"/>
      <c r="BN78" s="16"/>
      <c r="BO78" s="14"/>
      <c r="BP78" s="16"/>
      <c r="BQ78" s="16"/>
      <c r="BR78" s="16"/>
    </row>
    <row r="79" ht="14.25" customHeight="1">
      <c r="A79" s="20"/>
      <c r="B79" s="14" t="s">
        <v>65</v>
      </c>
      <c r="C79" s="16"/>
      <c r="D79" s="21" t="s">
        <v>66</v>
      </c>
      <c r="E79" s="14">
        <v>50.0</v>
      </c>
      <c r="F79" s="16" t="s">
        <v>211</v>
      </c>
      <c r="G79" s="14">
        <v>50.0</v>
      </c>
      <c r="H79" s="16" t="s">
        <v>212</v>
      </c>
      <c r="I79" s="17">
        <v>65.0</v>
      </c>
      <c r="J79" s="16" t="s">
        <v>213</v>
      </c>
      <c r="K79" s="17">
        <v>65.0</v>
      </c>
      <c r="L79" s="16" t="s">
        <v>214</v>
      </c>
      <c r="M79" s="16">
        <v>50.0</v>
      </c>
      <c r="N79" s="16" t="s">
        <v>100</v>
      </c>
      <c r="O79" s="22">
        <v>85.0</v>
      </c>
      <c r="P79" s="16" t="s">
        <v>215</v>
      </c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4">
        <f t="shared" si="1"/>
        <v>60.83333333</v>
      </c>
      <c r="BL79" s="18" t="str">
        <f t="array" ref="BL79">TEXTJOIN(" ", TRUE, _xlws.FILTER(C79:BJ79, MOD(COLUMN(C79:BJ79)-COLUMN(BN79),2)=0))</f>
        <v>#NAME?</v>
      </c>
      <c r="BM79" s="16"/>
      <c r="BN79" s="16"/>
      <c r="BO79" s="14"/>
      <c r="BP79" s="16"/>
      <c r="BQ79" s="16"/>
      <c r="BR79" s="16"/>
    </row>
    <row r="80" ht="14.25" customHeight="1">
      <c r="A80" s="24"/>
      <c r="B80" s="14" t="s">
        <v>72</v>
      </c>
      <c r="C80" s="16"/>
      <c r="D80" s="21"/>
      <c r="E80" s="16"/>
      <c r="F80" s="16"/>
      <c r="G80" s="14"/>
      <c r="H80" s="16"/>
      <c r="I80" s="16"/>
      <c r="J80" s="16"/>
      <c r="K80" s="14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4" t="str">
        <f t="shared" si="1"/>
        <v/>
      </c>
      <c r="BL80" s="18" t="str">
        <f t="array" ref="BL80">TEXTJOIN(" ", TRUE, _xlws.FILTER(C80:BJ80, MOD(COLUMN(C80:BJ80)-COLUMN(BN80),2)=0))</f>
        <v>#NAME?</v>
      </c>
      <c r="BM80" s="16"/>
      <c r="BN80" s="16"/>
      <c r="BO80" s="14"/>
      <c r="BP80" s="16"/>
      <c r="BQ80" s="16"/>
      <c r="BR80" s="16"/>
    </row>
    <row r="81" ht="14.25" customHeight="1">
      <c r="A81" s="13" t="s">
        <v>216</v>
      </c>
      <c r="B81" s="14" t="s">
        <v>42</v>
      </c>
      <c r="C81" s="16"/>
      <c r="D81" s="16"/>
      <c r="E81" s="16"/>
      <c r="F81" s="16"/>
      <c r="G81" s="14"/>
      <c r="H81" s="16"/>
      <c r="I81" s="14">
        <v>41.0</v>
      </c>
      <c r="J81" s="16" t="s">
        <v>217</v>
      </c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4">
        <f t="shared" si="1"/>
        <v>41</v>
      </c>
      <c r="BL81" s="18" t="str">
        <f t="array" ref="BL81">TEXTJOIN(" ", TRUE, _xlws.FILTER(C81:BJ81, MOD(COLUMN(C81:BJ81)-COLUMN(BN81),2)=0))</f>
        <v>#NAME?</v>
      </c>
      <c r="BM81" s="16"/>
      <c r="BN81" s="16"/>
      <c r="BO81" s="16"/>
      <c r="BP81" s="16"/>
      <c r="BQ81" s="16"/>
      <c r="BR81" s="16"/>
    </row>
    <row r="82" ht="14.25" customHeight="1">
      <c r="A82" s="20"/>
      <c r="B82" s="14" t="s">
        <v>44</v>
      </c>
      <c r="C82" s="31">
        <v>75.0</v>
      </c>
      <c r="D82" s="16" t="s">
        <v>218</v>
      </c>
      <c r="E82" s="17">
        <v>65.0</v>
      </c>
      <c r="F82" s="16" t="s">
        <v>46</v>
      </c>
      <c r="G82" s="14">
        <v>75.0</v>
      </c>
      <c r="H82" s="16" t="s">
        <v>47</v>
      </c>
      <c r="I82" s="14">
        <v>75.0</v>
      </c>
      <c r="J82" s="16" t="s">
        <v>48</v>
      </c>
      <c r="K82" s="14">
        <v>75.0</v>
      </c>
      <c r="L82" s="16" t="s">
        <v>49</v>
      </c>
      <c r="M82" s="14">
        <v>75.0</v>
      </c>
      <c r="N82" s="16" t="s">
        <v>49</v>
      </c>
      <c r="O82" s="22">
        <v>85.0</v>
      </c>
      <c r="P82" s="16" t="s">
        <v>219</v>
      </c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4">
        <f t="shared" si="1"/>
        <v>75</v>
      </c>
      <c r="BL82" s="18" t="str">
        <f t="array" ref="BL82">TEXTJOIN(" ", TRUE, _xlws.FILTER(C82:BJ82, MOD(COLUMN(C82:BJ82)-COLUMN(BN82),2)=0))</f>
        <v>#NAME?</v>
      </c>
      <c r="BM82" s="16"/>
      <c r="BN82" s="16"/>
      <c r="BO82" s="16"/>
      <c r="BP82" s="16"/>
      <c r="BQ82" s="16"/>
      <c r="BR82" s="16"/>
    </row>
    <row r="83" ht="14.25" customHeight="1">
      <c r="A83" s="20"/>
      <c r="B83" s="14" t="s">
        <v>51</v>
      </c>
      <c r="C83" s="14">
        <v>50.0</v>
      </c>
      <c r="D83" s="21" t="s">
        <v>52</v>
      </c>
      <c r="E83" s="14">
        <v>50.0</v>
      </c>
      <c r="F83" s="16" t="s">
        <v>53</v>
      </c>
      <c r="G83" s="14">
        <v>75.0</v>
      </c>
      <c r="H83" s="16" t="s">
        <v>54</v>
      </c>
      <c r="I83" s="17">
        <v>65.0</v>
      </c>
      <c r="J83" s="16" t="s">
        <v>134</v>
      </c>
      <c r="K83" s="14">
        <v>75.0</v>
      </c>
      <c r="L83" s="16" t="s">
        <v>56</v>
      </c>
      <c r="M83" s="14">
        <v>75.0</v>
      </c>
      <c r="N83" s="16" t="s">
        <v>56</v>
      </c>
      <c r="O83" s="26">
        <v>80.0</v>
      </c>
      <c r="P83" s="16" t="s">
        <v>93</v>
      </c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4">
        <f t="shared" si="1"/>
        <v>67.14285714</v>
      </c>
      <c r="BL83" s="18" t="str">
        <f t="array" ref="BL83">TEXTJOIN(" ", TRUE, _xlws.FILTER(C83:BJ83, MOD(COLUMN(C83:BJ83)-COLUMN(BN83),2)=0))</f>
        <v>#NAME?</v>
      </c>
      <c r="BM83" s="16"/>
      <c r="BN83" s="16"/>
      <c r="BO83" s="16"/>
      <c r="BP83" s="16"/>
      <c r="BQ83" s="16"/>
      <c r="BR83" s="16"/>
    </row>
    <row r="84" ht="14.25" customHeight="1">
      <c r="A84" s="20"/>
      <c r="B84" s="14" t="s">
        <v>58</v>
      </c>
      <c r="C84" s="14">
        <v>50.0</v>
      </c>
      <c r="D84" s="16" t="s">
        <v>153</v>
      </c>
      <c r="E84" s="17">
        <v>65.0</v>
      </c>
      <c r="F84" s="21" t="s">
        <v>164</v>
      </c>
      <c r="G84" s="17">
        <v>65.0</v>
      </c>
      <c r="H84" s="16" t="s">
        <v>165</v>
      </c>
      <c r="I84" s="14"/>
      <c r="J84" s="16"/>
      <c r="K84" s="14">
        <v>75.0</v>
      </c>
      <c r="L84" s="16" t="s">
        <v>220</v>
      </c>
      <c r="M84" s="25">
        <v>55.0</v>
      </c>
      <c r="N84" s="16" t="s">
        <v>221</v>
      </c>
      <c r="O84" s="22">
        <v>85.0</v>
      </c>
      <c r="P84" s="16" t="s">
        <v>222</v>
      </c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4">
        <f t="shared" si="1"/>
        <v>65.83333333</v>
      </c>
      <c r="BL84" s="18" t="str">
        <f t="array" ref="BL84">TEXTJOIN(" ", TRUE, _xlws.FILTER(C84:BJ84, MOD(COLUMN(C84:BJ84)-COLUMN(BN84),2)=0))</f>
        <v>#NAME?</v>
      </c>
      <c r="BM84" s="16"/>
      <c r="BN84" s="16"/>
      <c r="BO84" s="16"/>
      <c r="BP84" s="16"/>
      <c r="BQ84" s="16"/>
      <c r="BR84" s="16"/>
    </row>
    <row r="85" ht="14.25" customHeight="1">
      <c r="A85" s="20"/>
      <c r="B85" s="14" t="s">
        <v>65</v>
      </c>
      <c r="C85" s="32"/>
      <c r="D85" s="16" t="s">
        <v>66</v>
      </c>
      <c r="E85" s="14">
        <v>50.0</v>
      </c>
      <c r="F85" s="16" t="s">
        <v>157</v>
      </c>
      <c r="G85" s="14">
        <v>50.0</v>
      </c>
      <c r="H85" s="16" t="s">
        <v>126</v>
      </c>
      <c r="I85" s="14">
        <v>75.0</v>
      </c>
      <c r="J85" s="16" t="s">
        <v>213</v>
      </c>
      <c r="K85" s="17">
        <v>65.0</v>
      </c>
      <c r="L85" s="16" t="s">
        <v>223</v>
      </c>
      <c r="M85" s="17">
        <v>65.0</v>
      </c>
      <c r="N85" s="16" t="s">
        <v>224</v>
      </c>
      <c r="O85" s="22">
        <v>85.0</v>
      </c>
      <c r="P85" s="16" t="s">
        <v>170</v>
      </c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4">
        <f t="shared" si="1"/>
        <v>65</v>
      </c>
      <c r="BL85" s="18" t="str">
        <f t="array" ref="BL85">TEXTJOIN(" ", TRUE, _xlws.FILTER(C85:BJ85, MOD(COLUMN(C85:BJ85)-COLUMN(BN85),2)=0))</f>
        <v>#NAME?</v>
      </c>
      <c r="BM85" s="16"/>
      <c r="BN85" s="16"/>
      <c r="BO85" s="16"/>
      <c r="BP85" s="16"/>
      <c r="BQ85" s="16"/>
      <c r="BR85" s="16"/>
    </row>
    <row r="86" ht="14.25" customHeight="1">
      <c r="A86" s="24"/>
      <c r="B86" s="14" t="s">
        <v>72</v>
      </c>
      <c r="C86" s="32"/>
      <c r="D86" s="16"/>
      <c r="E86" s="16"/>
      <c r="F86" s="16"/>
      <c r="G86" s="14"/>
      <c r="H86" s="16"/>
      <c r="I86" s="16"/>
      <c r="J86" s="16"/>
      <c r="K86" s="14"/>
      <c r="L86" s="16"/>
      <c r="M86" s="16"/>
      <c r="N86" s="16"/>
      <c r="O86" s="23">
        <v>90.0</v>
      </c>
      <c r="P86" s="16" t="s">
        <v>225</v>
      </c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4">
        <f t="shared" si="1"/>
        <v>90</v>
      </c>
      <c r="BL86" s="18" t="str">
        <f t="array" ref="BL86">TEXTJOIN(" ", TRUE, _xlws.FILTER(C86:BJ86, MOD(COLUMN(C86:BJ86)-COLUMN(BN86),2)=0))</f>
        <v>#NAME?</v>
      </c>
      <c r="BM86" s="16"/>
      <c r="BN86" s="16"/>
      <c r="BO86" s="16"/>
      <c r="BP86" s="16"/>
      <c r="BQ86" s="16"/>
      <c r="BR86" s="16"/>
    </row>
    <row r="87" ht="14.25" customHeight="1">
      <c r="A87" s="13" t="s">
        <v>226</v>
      </c>
      <c r="B87" s="14" t="s">
        <v>42</v>
      </c>
      <c r="C87" s="16"/>
      <c r="D87" s="16"/>
      <c r="E87" s="16"/>
      <c r="F87" s="16"/>
      <c r="G87" s="16"/>
      <c r="H87" s="16"/>
      <c r="I87" s="14">
        <v>79.0</v>
      </c>
      <c r="J87" s="16" t="s">
        <v>172</v>
      </c>
      <c r="K87" s="14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4">
        <f t="shared" si="1"/>
        <v>79</v>
      </c>
      <c r="BL87" s="18" t="str">
        <f t="array" ref="BL87">TEXTJOIN(" ", TRUE, _xlws.FILTER(C87:BJ87, MOD(COLUMN(C87:BJ87)-COLUMN(BN87),2)=0))</f>
        <v>#NAME?</v>
      </c>
      <c r="BM87" s="16"/>
      <c r="BN87" s="16"/>
      <c r="BO87" s="16"/>
      <c r="BP87" s="16"/>
      <c r="BQ87" s="16"/>
      <c r="BR87" s="16"/>
    </row>
    <row r="88" ht="14.25" customHeight="1">
      <c r="A88" s="20"/>
      <c r="B88" s="14" t="s">
        <v>44</v>
      </c>
      <c r="C88" s="14">
        <v>50.0</v>
      </c>
      <c r="D88" s="21" t="s">
        <v>45</v>
      </c>
      <c r="E88" s="17">
        <v>65.0</v>
      </c>
      <c r="F88" s="16" t="s">
        <v>46</v>
      </c>
      <c r="G88" s="14">
        <v>75.0</v>
      </c>
      <c r="H88" s="16" t="s">
        <v>47</v>
      </c>
      <c r="I88" s="14">
        <v>75.0</v>
      </c>
      <c r="J88" s="16" t="s">
        <v>173</v>
      </c>
      <c r="K88" s="14">
        <v>75.0</v>
      </c>
      <c r="L88" s="16" t="s">
        <v>49</v>
      </c>
      <c r="M88" s="14">
        <v>75.0</v>
      </c>
      <c r="N88" s="16" t="s">
        <v>49</v>
      </c>
      <c r="O88" s="22">
        <v>85.0</v>
      </c>
      <c r="P88" s="16" t="s">
        <v>48</v>
      </c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4">
        <f t="shared" si="1"/>
        <v>71.42857143</v>
      </c>
      <c r="BL88" s="18" t="str">
        <f t="array" ref="BL88">TEXTJOIN(" ", TRUE, _xlws.FILTER(C88:BJ88, MOD(COLUMN(C88:BJ88)-COLUMN(BN88),2)=0))</f>
        <v>#NAME?</v>
      </c>
      <c r="BM88" s="16"/>
      <c r="BN88" s="16"/>
      <c r="BO88" s="16"/>
      <c r="BP88" s="16"/>
      <c r="BQ88" s="16"/>
      <c r="BR88" s="16"/>
    </row>
    <row r="89" ht="14.25" customHeight="1">
      <c r="A89" s="20"/>
      <c r="B89" s="14" t="s">
        <v>51</v>
      </c>
      <c r="C89" s="14">
        <v>50.0</v>
      </c>
      <c r="D89" s="21" t="s">
        <v>52</v>
      </c>
      <c r="E89" s="14">
        <v>50.0</v>
      </c>
      <c r="F89" s="16" t="s">
        <v>53</v>
      </c>
      <c r="G89" s="14">
        <v>75.0</v>
      </c>
      <c r="H89" s="16" t="s">
        <v>54</v>
      </c>
      <c r="I89" s="14">
        <v>75.0</v>
      </c>
      <c r="J89" s="16" t="s">
        <v>175</v>
      </c>
      <c r="K89" s="14">
        <v>75.0</v>
      </c>
      <c r="L89" s="16" t="s">
        <v>56</v>
      </c>
      <c r="M89" s="14">
        <v>75.0</v>
      </c>
      <c r="N89" s="16" t="s">
        <v>56</v>
      </c>
      <c r="O89" s="26">
        <v>80.0</v>
      </c>
      <c r="P89" s="16" t="s">
        <v>93</v>
      </c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4">
        <f t="shared" si="1"/>
        <v>68.57142857</v>
      </c>
      <c r="BL89" s="18" t="str">
        <f t="array" ref="BL89">TEXTJOIN(" ", TRUE, _xlws.FILTER(C89:BJ89, MOD(COLUMN(C89:BJ89)-COLUMN(BN89),2)=0))</f>
        <v>#NAME?</v>
      </c>
      <c r="BM89" s="16"/>
      <c r="BN89" s="16"/>
      <c r="BO89" s="16"/>
      <c r="BP89" s="16"/>
      <c r="BQ89" s="16"/>
      <c r="BR89" s="16"/>
    </row>
    <row r="90" ht="14.25" customHeight="1">
      <c r="A90" s="20"/>
      <c r="B90" s="14" t="s">
        <v>58</v>
      </c>
      <c r="C90" s="14">
        <v>50.0</v>
      </c>
      <c r="D90" s="21" t="s">
        <v>107</v>
      </c>
      <c r="E90" s="17">
        <v>65.0</v>
      </c>
      <c r="F90" s="21" t="s">
        <v>80</v>
      </c>
      <c r="G90" s="17">
        <v>65.0</v>
      </c>
      <c r="H90" s="16" t="s">
        <v>61</v>
      </c>
      <c r="I90" s="14"/>
      <c r="J90" s="16"/>
      <c r="K90" s="14">
        <v>75.0</v>
      </c>
      <c r="L90" s="16" t="s">
        <v>109</v>
      </c>
      <c r="M90" s="16">
        <v>50.0</v>
      </c>
      <c r="N90" s="16" t="s">
        <v>155</v>
      </c>
      <c r="O90" s="22">
        <v>85.0</v>
      </c>
      <c r="P90" s="16" t="s">
        <v>96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4">
        <f t="shared" si="1"/>
        <v>65</v>
      </c>
      <c r="BL90" s="18" t="str">
        <f t="array" ref="BL90">TEXTJOIN(" ", TRUE, _xlws.FILTER(C90:BJ90, MOD(COLUMN(C90:BJ90)-COLUMN(BN90),2)=0))</f>
        <v>#NAME?</v>
      </c>
      <c r="BM90" s="16"/>
      <c r="BN90" s="16"/>
      <c r="BO90" s="16"/>
      <c r="BP90" s="16"/>
      <c r="BQ90" s="16"/>
      <c r="BR90" s="16"/>
    </row>
    <row r="91" ht="14.25" customHeight="1">
      <c r="A91" s="20"/>
      <c r="B91" s="14" t="s">
        <v>65</v>
      </c>
      <c r="C91" s="16"/>
      <c r="D91" s="21" t="s">
        <v>66</v>
      </c>
      <c r="E91" s="14">
        <v>50.0</v>
      </c>
      <c r="F91" s="16" t="s">
        <v>85</v>
      </c>
      <c r="G91" s="14">
        <v>50.0</v>
      </c>
      <c r="H91" s="16" t="s">
        <v>68</v>
      </c>
      <c r="I91" s="17">
        <v>65.0</v>
      </c>
      <c r="J91" s="16" t="s">
        <v>180</v>
      </c>
      <c r="K91" s="17">
        <v>65.0</v>
      </c>
      <c r="L91" s="16" t="s">
        <v>227</v>
      </c>
      <c r="M91" s="16">
        <v>50.0</v>
      </c>
      <c r="N91" s="16" t="s">
        <v>224</v>
      </c>
      <c r="O91" s="22">
        <v>85.0</v>
      </c>
      <c r="P91" s="16" t="s">
        <v>228</v>
      </c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4">
        <f t="shared" si="1"/>
        <v>60.83333333</v>
      </c>
      <c r="BL91" s="18" t="str">
        <f t="array" ref="BL91">TEXTJOIN(" ", TRUE, _xlws.FILTER(C91:BJ91, MOD(COLUMN(C91:BJ91)-COLUMN(BN91),2)=0))</f>
        <v>#NAME?</v>
      </c>
      <c r="BM91" s="16"/>
      <c r="BN91" s="16"/>
      <c r="BO91" s="16"/>
      <c r="BP91" s="16"/>
      <c r="BQ91" s="16"/>
      <c r="BR91" s="16"/>
    </row>
    <row r="92" ht="14.25" customHeight="1">
      <c r="A92" s="24"/>
      <c r="B92" s="14" t="s">
        <v>72</v>
      </c>
      <c r="C92" s="16"/>
      <c r="D92" s="16"/>
      <c r="E92" s="16"/>
      <c r="F92" s="16"/>
      <c r="G92" s="16"/>
      <c r="H92" s="16"/>
      <c r="I92" s="16"/>
      <c r="J92" s="16"/>
      <c r="K92" s="14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4" t="str">
        <f t="shared" si="1"/>
        <v/>
      </c>
      <c r="BL92" s="18" t="str">
        <f t="array" ref="BL92">TEXTJOIN(" ", TRUE, _xlws.FILTER(C92:BJ92, MOD(COLUMN(C92:BJ92)-COLUMN(BN92),2)=0))</f>
        <v>#NAME?</v>
      </c>
      <c r="BM92" s="16"/>
      <c r="BN92" s="16"/>
      <c r="BO92" s="16"/>
      <c r="BP92" s="16"/>
      <c r="BQ92" s="16"/>
      <c r="BR92" s="16"/>
    </row>
    <row r="93" ht="14.25" customHeight="1">
      <c r="A93" s="13" t="s">
        <v>229</v>
      </c>
      <c r="B93" s="14" t="s">
        <v>42</v>
      </c>
      <c r="C93" s="16"/>
      <c r="D93" s="16"/>
      <c r="E93" s="16"/>
      <c r="F93" s="16"/>
      <c r="G93" s="16"/>
      <c r="H93" s="16"/>
      <c r="I93" s="14">
        <v>41.0</v>
      </c>
      <c r="J93" s="16" t="s">
        <v>74</v>
      </c>
      <c r="K93" s="14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4">
        <f t="shared" si="1"/>
        <v>41</v>
      </c>
      <c r="BL93" s="18" t="str">
        <f t="array" ref="BL93">TEXTJOIN(" ", TRUE, _xlws.FILTER(C93:BJ93, MOD(COLUMN(C93:BJ93)-COLUMN(BN93),2)=0))</f>
        <v>#NAME?</v>
      </c>
      <c r="BM93" s="16"/>
      <c r="BN93" s="16"/>
      <c r="BO93" s="16"/>
      <c r="BP93" s="16"/>
      <c r="BQ93" s="16"/>
      <c r="BR93" s="16"/>
    </row>
    <row r="94" ht="14.25" customHeight="1">
      <c r="A94" s="20"/>
      <c r="B94" s="14" t="s">
        <v>44</v>
      </c>
      <c r="C94" s="14">
        <v>50.0</v>
      </c>
      <c r="D94" s="21" t="s">
        <v>45</v>
      </c>
      <c r="E94" s="17">
        <v>65.0</v>
      </c>
      <c r="F94" s="16" t="s">
        <v>46</v>
      </c>
      <c r="G94" s="14">
        <v>75.0</v>
      </c>
      <c r="H94" s="16" t="s">
        <v>47</v>
      </c>
      <c r="I94" s="14">
        <v>75.0</v>
      </c>
      <c r="J94" s="16" t="s">
        <v>75</v>
      </c>
      <c r="K94" s="14">
        <v>75.0</v>
      </c>
      <c r="L94" s="16" t="s">
        <v>49</v>
      </c>
      <c r="M94" s="14">
        <v>75.0</v>
      </c>
      <c r="N94" s="16" t="s">
        <v>49</v>
      </c>
      <c r="O94" s="16">
        <v>100.0</v>
      </c>
      <c r="P94" s="16" t="s">
        <v>230</v>
      </c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4">
        <f t="shared" si="1"/>
        <v>73.57142857</v>
      </c>
      <c r="BL94" s="18" t="str">
        <f t="array" ref="BL94">TEXTJOIN(" ", TRUE, _xlws.FILTER(C94:BJ94, MOD(COLUMN(C94:BJ94)-COLUMN(BN94),2)=0))</f>
        <v>#NAME?</v>
      </c>
      <c r="BM94" s="16"/>
      <c r="BN94" s="16"/>
      <c r="BO94" s="16"/>
      <c r="BP94" s="16"/>
      <c r="BQ94" s="16"/>
      <c r="BR94" s="16"/>
    </row>
    <row r="95" ht="14.25" customHeight="1">
      <c r="A95" s="20"/>
      <c r="B95" s="14" t="s">
        <v>51</v>
      </c>
      <c r="C95" s="14">
        <v>50.0</v>
      </c>
      <c r="D95" s="21" t="s">
        <v>52</v>
      </c>
      <c r="E95" s="14">
        <v>50.0</v>
      </c>
      <c r="F95" s="16" t="s">
        <v>53</v>
      </c>
      <c r="G95" s="14">
        <v>75.0</v>
      </c>
      <c r="H95" s="16" t="s">
        <v>54</v>
      </c>
      <c r="I95" s="14">
        <v>75.0</v>
      </c>
      <c r="J95" s="16" t="s">
        <v>77</v>
      </c>
      <c r="K95" s="14">
        <v>75.0</v>
      </c>
      <c r="L95" s="16" t="s">
        <v>56</v>
      </c>
      <c r="M95" s="14">
        <v>75.0</v>
      </c>
      <c r="N95" s="16" t="s">
        <v>56</v>
      </c>
      <c r="O95" s="23">
        <v>90.0</v>
      </c>
      <c r="P95" s="16" t="s">
        <v>231</v>
      </c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4">
        <f t="shared" si="1"/>
        <v>70</v>
      </c>
      <c r="BL95" s="18" t="str">
        <f t="array" ref="BL95">TEXTJOIN(" ", TRUE, _xlws.FILTER(C95:BJ95, MOD(COLUMN(C95:BJ95)-COLUMN(BN95),2)=0))</f>
        <v>#NAME?</v>
      </c>
      <c r="BM95" s="16"/>
      <c r="BN95" s="16"/>
      <c r="BO95" s="16"/>
      <c r="BP95" s="16"/>
      <c r="BQ95" s="16"/>
      <c r="BR95" s="16"/>
    </row>
    <row r="96" ht="14.25" customHeight="1">
      <c r="A96" s="20"/>
      <c r="B96" s="14" t="s">
        <v>58</v>
      </c>
      <c r="C96" s="14">
        <v>25.0</v>
      </c>
      <c r="D96" s="21" t="s">
        <v>118</v>
      </c>
      <c r="E96" s="17">
        <v>65.0</v>
      </c>
      <c r="F96" s="21" t="s">
        <v>177</v>
      </c>
      <c r="G96" s="17">
        <v>65.0</v>
      </c>
      <c r="H96" s="16" t="s">
        <v>189</v>
      </c>
      <c r="I96" s="14"/>
      <c r="J96" s="16"/>
      <c r="K96" s="17">
        <v>65.0</v>
      </c>
      <c r="L96" s="16" t="s">
        <v>111</v>
      </c>
      <c r="M96" s="16">
        <v>50.0</v>
      </c>
      <c r="N96" s="16" t="s">
        <v>155</v>
      </c>
      <c r="O96" s="30">
        <v>95.0</v>
      </c>
      <c r="P96" s="16" t="s">
        <v>64</v>
      </c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4">
        <f t="shared" si="1"/>
        <v>60.83333333</v>
      </c>
      <c r="BL96" s="18" t="str">
        <f t="array" ref="BL96">TEXTJOIN(" ", TRUE, _xlws.FILTER(C96:BJ96, MOD(COLUMN(C96:BJ96)-COLUMN(BN96),2)=0))</f>
        <v>#NAME?</v>
      </c>
      <c r="BM96" s="16"/>
      <c r="BN96" s="16"/>
      <c r="BO96" s="16"/>
      <c r="BP96" s="16"/>
      <c r="BQ96" s="16"/>
      <c r="BR96" s="16"/>
    </row>
    <row r="97" ht="14.25" customHeight="1">
      <c r="A97" s="20"/>
      <c r="B97" s="14" t="s">
        <v>65</v>
      </c>
      <c r="C97" s="16"/>
      <c r="D97" s="21" t="s">
        <v>66</v>
      </c>
      <c r="E97" s="14">
        <v>50.0</v>
      </c>
      <c r="F97" s="16" t="s">
        <v>157</v>
      </c>
      <c r="G97" s="14">
        <v>50.0</v>
      </c>
      <c r="H97" s="16" t="s">
        <v>191</v>
      </c>
      <c r="I97" s="14"/>
      <c r="J97" s="16"/>
      <c r="K97" s="14">
        <v>25.0</v>
      </c>
      <c r="L97" s="16" t="s">
        <v>87</v>
      </c>
      <c r="M97" s="16">
        <v>50.0</v>
      </c>
      <c r="N97" s="16" t="s">
        <v>138</v>
      </c>
      <c r="O97" s="23">
        <v>90.0</v>
      </c>
      <c r="P97" s="16" t="s">
        <v>228</v>
      </c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4">
        <f t="shared" si="1"/>
        <v>53</v>
      </c>
      <c r="BL97" s="18" t="str">
        <f t="array" ref="BL97">TEXTJOIN(" ", TRUE, _xlws.FILTER(C97:BJ97, MOD(COLUMN(C97:BJ97)-COLUMN(BN97),2)=0))</f>
        <v>#NAME?</v>
      </c>
      <c r="BM97" s="16"/>
      <c r="BN97" s="16"/>
      <c r="BO97" s="16"/>
      <c r="BP97" s="16"/>
      <c r="BQ97" s="16"/>
      <c r="BR97" s="16"/>
    </row>
    <row r="98" ht="14.25" customHeight="1">
      <c r="A98" s="24"/>
      <c r="B98" s="14" t="s">
        <v>72</v>
      </c>
      <c r="C98" s="16"/>
      <c r="D98" s="16"/>
      <c r="E98" s="16"/>
      <c r="F98" s="16"/>
      <c r="G98" s="16"/>
      <c r="H98" s="16"/>
      <c r="I98" s="16"/>
      <c r="J98" s="16"/>
      <c r="K98" s="14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4" t="str">
        <f t="shared" si="1"/>
        <v/>
      </c>
      <c r="BL98" s="18" t="str">
        <f t="array" ref="BL98">TEXTJOIN(" ", TRUE, _xlws.FILTER(C98:BJ98, MOD(COLUMN(C98:BJ98)-COLUMN(BN98),2)=0))</f>
        <v>#NAME?</v>
      </c>
      <c r="BM98" s="16"/>
      <c r="BN98" s="16"/>
      <c r="BO98" s="16"/>
      <c r="BP98" s="16"/>
      <c r="BQ98" s="16"/>
      <c r="BR98" s="16"/>
    </row>
    <row r="99" ht="14.25" customHeight="1">
      <c r="A99" s="13" t="s">
        <v>232</v>
      </c>
      <c r="B99" s="14" t="s">
        <v>42</v>
      </c>
      <c r="C99" s="16"/>
      <c r="D99" s="16"/>
      <c r="E99" s="16"/>
      <c r="F99" s="16"/>
      <c r="G99" s="16"/>
      <c r="H99" s="16"/>
      <c r="I99" s="14">
        <v>75.0</v>
      </c>
      <c r="J99" s="16" t="s">
        <v>172</v>
      </c>
      <c r="K99" s="14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4">
        <f t="shared" si="1"/>
        <v>75</v>
      </c>
      <c r="BL99" s="18" t="str">
        <f t="array" ref="BL99">TEXTJOIN(" ", TRUE, _xlws.FILTER(C99:BJ99, MOD(COLUMN(C99:BJ99)-COLUMN(BN99),2)=0))</f>
        <v>#NAME?</v>
      </c>
      <c r="BM99" s="16"/>
      <c r="BN99" s="16"/>
      <c r="BO99" s="16"/>
      <c r="BP99" s="16"/>
      <c r="BQ99" s="16"/>
      <c r="BR99" s="16"/>
    </row>
    <row r="100" ht="14.25" customHeight="1">
      <c r="A100" s="20"/>
      <c r="B100" s="14" t="s">
        <v>44</v>
      </c>
      <c r="C100" s="14">
        <v>50.0</v>
      </c>
      <c r="D100" s="21" t="s">
        <v>45</v>
      </c>
      <c r="E100" s="17">
        <v>65.0</v>
      </c>
      <c r="F100" s="16" t="s">
        <v>46</v>
      </c>
      <c r="G100" s="14">
        <v>75.0</v>
      </c>
      <c r="H100" s="16" t="s">
        <v>47</v>
      </c>
      <c r="I100" s="14">
        <v>75.0</v>
      </c>
      <c r="J100" s="16" t="s">
        <v>173</v>
      </c>
      <c r="K100" s="14">
        <v>75.0</v>
      </c>
      <c r="L100" s="16" t="s">
        <v>49</v>
      </c>
      <c r="M100" s="14">
        <v>75.0</v>
      </c>
      <c r="N100" s="16" t="s">
        <v>49</v>
      </c>
      <c r="O100" s="30">
        <v>95.0</v>
      </c>
      <c r="P100" s="16" t="s">
        <v>233</v>
      </c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4">
        <f t="shared" si="1"/>
        <v>72.85714286</v>
      </c>
      <c r="BL100" s="18" t="str">
        <f t="array" ref="BL100">TEXTJOIN(" ", TRUE, _xlws.FILTER(C100:BJ100, MOD(COLUMN(C100:BJ100)-COLUMN(BN100),2)=0))</f>
        <v>#NAME?</v>
      </c>
      <c r="BM100" s="16"/>
      <c r="BN100" s="16"/>
      <c r="BO100" s="16"/>
      <c r="BP100" s="16"/>
      <c r="BQ100" s="16"/>
      <c r="BR100" s="16"/>
    </row>
    <row r="101" ht="14.25" customHeight="1">
      <c r="A101" s="20"/>
      <c r="B101" s="14" t="s">
        <v>51</v>
      </c>
      <c r="C101" s="14">
        <v>50.0</v>
      </c>
      <c r="D101" s="21" t="s">
        <v>52</v>
      </c>
      <c r="E101" s="14">
        <v>50.0</v>
      </c>
      <c r="F101" s="16" t="s">
        <v>53</v>
      </c>
      <c r="G101" s="14">
        <v>75.0</v>
      </c>
      <c r="H101" s="16" t="s">
        <v>54</v>
      </c>
      <c r="I101" s="14">
        <v>75.0</v>
      </c>
      <c r="J101" s="16" t="s">
        <v>175</v>
      </c>
      <c r="K101" s="14">
        <v>75.0</v>
      </c>
      <c r="L101" s="16" t="s">
        <v>56</v>
      </c>
      <c r="M101" s="14">
        <v>75.0</v>
      </c>
      <c r="N101" s="16" t="s">
        <v>56</v>
      </c>
      <c r="O101" s="23">
        <v>90.0</v>
      </c>
      <c r="P101" s="16" t="s">
        <v>78</v>
      </c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4">
        <f t="shared" si="1"/>
        <v>70</v>
      </c>
      <c r="BL101" s="18" t="str">
        <f t="array" ref="BL101">TEXTJOIN(" ", TRUE, _xlws.FILTER(C101:BJ101, MOD(COLUMN(C101:BJ101)-COLUMN(BN101),2)=0))</f>
        <v>#NAME?</v>
      </c>
      <c r="BM101" s="16"/>
      <c r="BN101" s="16"/>
      <c r="BO101" s="16"/>
      <c r="BP101" s="16"/>
      <c r="BQ101" s="16"/>
      <c r="BR101" s="16"/>
    </row>
    <row r="102" ht="14.25" customHeight="1">
      <c r="A102" s="20"/>
      <c r="B102" s="14" t="s">
        <v>58</v>
      </c>
      <c r="C102" s="14">
        <v>50.0</v>
      </c>
      <c r="D102" s="21" t="s">
        <v>79</v>
      </c>
      <c r="E102" s="17">
        <v>65.0</v>
      </c>
      <c r="F102" s="21" t="s">
        <v>94</v>
      </c>
      <c r="G102" s="14">
        <v>75.0</v>
      </c>
      <c r="H102" s="16" t="s">
        <v>61</v>
      </c>
      <c r="I102" s="14"/>
      <c r="J102" s="16"/>
      <c r="K102" s="14">
        <v>75.0</v>
      </c>
      <c r="L102" s="16" t="s">
        <v>234</v>
      </c>
      <c r="M102" s="25">
        <v>55.0</v>
      </c>
      <c r="N102" s="16" t="s">
        <v>166</v>
      </c>
      <c r="O102" s="30">
        <v>95.0</v>
      </c>
      <c r="P102" s="16" t="s">
        <v>235</v>
      </c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4">
        <f t="shared" si="1"/>
        <v>69.16666667</v>
      </c>
      <c r="BL102" s="18" t="str">
        <f t="array" ref="BL102">TEXTJOIN(" ", TRUE, _xlws.FILTER(C102:BJ102, MOD(COLUMN(C102:BJ102)-COLUMN(BN102),2)=0))</f>
        <v>#NAME?</v>
      </c>
      <c r="BM102" s="16"/>
      <c r="BN102" s="16"/>
      <c r="BO102" s="16"/>
      <c r="BP102" s="16"/>
      <c r="BQ102" s="16"/>
      <c r="BR102" s="16"/>
    </row>
    <row r="103" ht="14.25" customHeight="1">
      <c r="A103" s="20"/>
      <c r="B103" s="14" t="s">
        <v>65</v>
      </c>
      <c r="C103" s="16"/>
      <c r="D103" s="21" t="s">
        <v>66</v>
      </c>
      <c r="E103" s="14">
        <v>50.0</v>
      </c>
      <c r="F103" s="16" t="s">
        <v>211</v>
      </c>
      <c r="G103" s="14">
        <v>50.0</v>
      </c>
      <c r="H103" s="16" t="s">
        <v>113</v>
      </c>
      <c r="I103" s="17">
        <v>65.0</v>
      </c>
      <c r="J103" s="16" t="s">
        <v>180</v>
      </c>
      <c r="K103" s="14">
        <v>50.0</v>
      </c>
      <c r="L103" s="16" t="s">
        <v>69</v>
      </c>
      <c r="M103" s="16">
        <v>50.0</v>
      </c>
      <c r="N103" s="16" t="s">
        <v>236</v>
      </c>
      <c r="O103" s="23">
        <v>90.0</v>
      </c>
      <c r="P103" s="16" t="s">
        <v>101</v>
      </c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4">
        <f t="shared" si="1"/>
        <v>59.16666667</v>
      </c>
      <c r="BL103" s="18" t="str">
        <f t="array" ref="BL103">TEXTJOIN(" ", TRUE, _xlws.FILTER(C103:BJ103, MOD(COLUMN(C103:BJ103)-COLUMN(BN103),2)=0))</f>
        <v>#NAME?</v>
      </c>
      <c r="BM103" s="16"/>
      <c r="BN103" s="16"/>
      <c r="BO103" s="16"/>
      <c r="BP103" s="16"/>
      <c r="BQ103" s="16"/>
      <c r="BR103" s="16"/>
    </row>
    <row r="104" ht="14.25" customHeight="1">
      <c r="A104" s="24"/>
      <c r="B104" s="14" t="s">
        <v>72</v>
      </c>
      <c r="C104" s="16"/>
      <c r="D104" s="16"/>
      <c r="E104" s="16"/>
      <c r="F104" s="16"/>
      <c r="G104" s="16"/>
      <c r="H104" s="16"/>
      <c r="I104" s="16"/>
      <c r="J104" s="16"/>
      <c r="K104" s="14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4" t="str">
        <f t="shared" si="1"/>
        <v/>
      </c>
      <c r="BL104" s="18" t="str">
        <f t="array" ref="BL104">TEXTJOIN(" ", TRUE, _xlws.FILTER(C104:BJ104, MOD(COLUMN(C104:BJ104)-COLUMN(BN104),2)=0))</f>
        <v>#NAME?</v>
      </c>
      <c r="BM104" s="16"/>
      <c r="BN104" s="16"/>
      <c r="BO104" s="16"/>
      <c r="BP104" s="16"/>
      <c r="BQ104" s="16"/>
      <c r="BR104" s="16"/>
    </row>
    <row r="105" ht="14.25" customHeight="1">
      <c r="A105" s="13" t="s">
        <v>237</v>
      </c>
      <c r="B105" s="14" t="s">
        <v>42</v>
      </c>
      <c r="C105" s="16"/>
      <c r="D105" s="16"/>
      <c r="E105" s="16"/>
      <c r="F105" s="16"/>
      <c r="G105" s="16"/>
      <c r="H105" s="16"/>
      <c r="I105" s="14">
        <v>93.0</v>
      </c>
      <c r="J105" s="16" t="s">
        <v>74</v>
      </c>
      <c r="K105" s="14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4">
        <f t="shared" si="1"/>
        <v>93</v>
      </c>
      <c r="BL105" s="18" t="str">
        <f t="array" ref="BL105">TEXTJOIN(" ", TRUE, _xlws.FILTER(C105:BJ105, MOD(COLUMN(C105:BJ105)-COLUMN(BN105),2)=0))</f>
        <v>#NAME?</v>
      </c>
      <c r="BM105" s="16"/>
      <c r="BN105" s="16"/>
      <c r="BO105" s="16"/>
      <c r="BP105" s="16"/>
      <c r="BQ105" s="16"/>
      <c r="BR105" s="16"/>
    </row>
    <row r="106" ht="14.25" customHeight="1">
      <c r="A106" s="20"/>
      <c r="B106" s="14" t="s">
        <v>44</v>
      </c>
      <c r="C106" s="14">
        <v>50.0</v>
      </c>
      <c r="D106" s="21" t="s">
        <v>45</v>
      </c>
      <c r="E106" s="17">
        <v>65.0</v>
      </c>
      <c r="F106" s="16" t="s">
        <v>46</v>
      </c>
      <c r="G106" s="14">
        <v>75.0</v>
      </c>
      <c r="H106" s="16" t="s">
        <v>47</v>
      </c>
      <c r="I106" s="14">
        <v>75.0</v>
      </c>
      <c r="J106" s="16" t="s">
        <v>75</v>
      </c>
      <c r="K106" s="14">
        <v>75.0</v>
      </c>
      <c r="L106" s="16" t="s">
        <v>49</v>
      </c>
      <c r="M106" s="14">
        <v>75.0</v>
      </c>
      <c r="N106" s="16" t="s">
        <v>49</v>
      </c>
      <c r="O106" s="23">
        <v>90.0</v>
      </c>
      <c r="P106" s="16" t="s">
        <v>238</v>
      </c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4">
        <f t="shared" si="1"/>
        <v>72.14285714</v>
      </c>
      <c r="BL106" s="18" t="str">
        <f t="array" ref="BL106">TEXTJOIN(" ", TRUE, _xlws.FILTER(C106:BJ106, MOD(COLUMN(C106:BJ106)-COLUMN(BN106),2)=0))</f>
        <v>#NAME?</v>
      </c>
      <c r="BM106" s="16"/>
      <c r="BN106" s="16"/>
      <c r="BO106" s="16"/>
      <c r="BP106" s="16"/>
      <c r="BQ106" s="16"/>
      <c r="BR106" s="16"/>
    </row>
    <row r="107" ht="14.25" customHeight="1">
      <c r="A107" s="20"/>
      <c r="B107" s="14" t="s">
        <v>51</v>
      </c>
      <c r="C107" s="14">
        <v>50.0</v>
      </c>
      <c r="D107" s="21" t="s">
        <v>52</v>
      </c>
      <c r="E107" s="14">
        <v>50.0</v>
      </c>
      <c r="F107" s="16" t="s">
        <v>53</v>
      </c>
      <c r="G107" s="14">
        <v>75.0</v>
      </c>
      <c r="H107" s="16" t="s">
        <v>54</v>
      </c>
      <c r="I107" s="14">
        <v>75.0</v>
      </c>
      <c r="J107" s="16" t="s">
        <v>77</v>
      </c>
      <c r="K107" s="14">
        <v>75.0</v>
      </c>
      <c r="L107" s="16" t="s">
        <v>56</v>
      </c>
      <c r="M107" s="14">
        <v>75.0</v>
      </c>
      <c r="N107" s="16" t="s">
        <v>56</v>
      </c>
      <c r="O107" s="23">
        <v>90.0</v>
      </c>
      <c r="P107" s="16" t="s">
        <v>78</v>
      </c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4">
        <f t="shared" si="1"/>
        <v>70</v>
      </c>
      <c r="BL107" s="18" t="str">
        <f t="array" ref="BL107">TEXTJOIN(" ", TRUE, _xlws.FILTER(C107:BJ107, MOD(COLUMN(C107:BJ107)-COLUMN(BN107),2)=0))</f>
        <v>#NAME?</v>
      </c>
      <c r="BM107" s="16"/>
      <c r="BN107" s="16"/>
      <c r="BO107" s="16"/>
      <c r="BP107" s="16"/>
      <c r="BQ107" s="16"/>
      <c r="BR107" s="16"/>
    </row>
    <row r="108" ht="14.25" customHeight="1">
      <c r="A108" s="20"/>
      <c r="B108" s="14" t="s">
        <v>58</v>
      </c>
      <c r="C108" s="14">
        <v>50.0</v>
      </c>
      <c r="D108" s="21" t="s">
        <v>111</v>
      </c>
      <c r="E108" s="17">
        <v>65.0</v>
      </c>
      <c r="F108" s="21" t="s">
        <v>80</v>
      </c>
      <c r="G108" s="17">
        <v>65.0</v>
      </c>
      <c r="H108" s="16" t="s">
        <v>189</v>
      </c>
      <c r="I108" s="14"/>
      <c r="J108" s="16"/>
      <c r="K108" s="14">
        <v>75.0</v>
      </c>
      <c r="L108" s="16" t="s">
        <v>239</v>
      </c>
      <c r="M108" s="17">
        <v>65.0</v>
      </c>
      <c r="N108" s="16" t="s">
        <v>80</v>
      </c>
      <c r="O108" s="23">
        <v>90.0</v>
      </c>
      <c r="P108" s="16" t="s">
        <v>123</v>
      </c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4">
        <f t="shared" si="1"/>
        <v>68.33333333</v>
      </c>
      <c r="BL108" s="18" t="str">
        <f t="array" ref="BL108">TEXTJOIN(" ", TRUE, _xlws.FILTER(C108:BJ108, MOD(COLUMN(C108:BJ108)-COLUMN(BN108),2)=0))</f>
        <v>#NAME?</v>
      </c>
      <c r="BM108" s="16"/>
      <c r="BN108" s="16"/>
      <c r="BO108" s="16"/>
      <c r="BP108" s="16"/>
      <c r="BQ108" s="16"/>
      <c r="BR108" s="16"/>
    </row>
    <row r="109" ht="14.25" customHeight="1">
      <c r="A109" s="20"/>
      <c r="B109" s="14" t="s">
        <v>65</v>
      </c>
      <c r="C109" s="16"/>
      <c r="D109" s="21" t="s">
        <v>66</v>
      </c>
      <c r="E109" s="14">
        <v>50.0</v>
      </c>
      <c r="F109" s="16" t="s">
        <v>85</v>
      </c>
      <c r="G109" s="14">
        <v>50.0</v>
      </c>
      <c r="H109" s="16" t="s">
        <v>191</v>
      </c>
      <c r="I109" s="14"/>
      <c r="J109" s="16"/>
      <c r="K109" s="14">
        <v>25.0</v>
      </c>
      <c r="L109" s="16" t="s">
        <v>87</v>
      </c>
      <c r="M109" s="16">
        <v>50.0</v>
      </c>
      <c r="N109" s="16" t="s">
        <v>100</v>
      </c>
      <c r="O109" s="23">
        <v>90.0</v>
      </c>
      <c r="P109" s="16" t="s">
        <v>240</v>
      </c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4">
        <f t="shared" si="1"/>
        <v>53</v>
      </c>
      <c r="BL109" s="18" t="str">
        <f t="array" ref="BL109">TEXTJOIN(" ", TRUE, _xlws.FILTER(C109:BJ109, MOD(COLUMN(C109:BJ109)-COLUMN(BN109),2)=0))</f>
        <v>#NAME?</v>
      </c>
      <c r="BM109" s="16"/>
      <c r="BN109" s="16"/>
      <c r="BO109" s="16"/>
      <c r="BP109" s="16"/>
      <c r="BQ109" s="16"/>
      <c r="BR109" s="16"/>
    </row>
    <row r="110" ht="14.25" customHeight="1">
      <c r="A110" s="24"/>
      <c r="B110" s="14" t="s">
        <v>72</v>
      </c>
      <c r="C110" s="16"/>
      <c r="D110" s="16"/>
      <c r="E110" s="16"/>
      <c r="F110" s="16"/>
      <c r="G110" s="16"/>
      <c r="H110" s="16"/>
      <c r="I110" s="16"/>
      <c r="J110" s="16"/>
      <c r="K110" s="14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4" t="str">
        <f t="shared" si="1"/>
        <v/>
      </c>
      <c r="BL110" s="18" t="str">
        <f t="array" ref="BL110">TEXTJOIN(" ", TRUE, _xlws.FILTER(C110:BJ110, MOD(COLUMN(C110:BJ110)-COLUMN(BN110),2)=0))</f>
        <v>#NAME?</v>
      </c>
      <c r="BM110" s="16"/>
      <c r="BN110" s="16"/>
      <c r="BO110" s="16"/>
      <c r="BP110" s="16"/>
      <c r="BQ110" s="16"/>
      <c r="BR110" s="16"/>
    </row>
    <row r="111" ht="14.25" customHeight="1">
      <c r="A111" s="13"/>
      <c r="B111" s="14"/>
      <c r="C111" s="16"/>
      <c r="D111" s="16"/>
      <c r="E111" s="16"/>
      <c r="F111" s="16"/>
      <c r="G111" s="16"/>
      <c r="H111" s="16"/>
      <c r="I111" s="14"/>
      <c r="J111" s="16"/>
      <c r="K111" s="14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4" t="str">
        <f t="shared" si="1"/>
        <v/>
      </c>
      <c r="BL111" s="16"/>
      <c r="BM111" s="16"/>
      <c r="BN111" s="16"/>
      <c r="BO111" s="16"/>
      <c r="BP111" s="16"/>
      <c r="BQ111" s="16"/>
      <c r="BR111" s="16"/>
    </row>
    <row r="112" ht="14.25" customHeight="1">
      <c r="A112" s="20"/>
      <c r="B112" s="16"/>
      <c r="C112" s="16"/>
      <c r="D112" s="16"/>
      <c r="E112" s="16"/>
      <c r="F112" s="16"/>
      <c r="G112" s="16"/>
      <c r="H112" s="16"/>
      <c r="I112" s="16"/>
      <c r="J112" s="16"/>
      <c r="K112" s="14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K112" s="14" t="str">
        <f t="shared" si="1"/>
        <v/>
      </c>
    </row>
    <row r="113" ht="14.25" customHeight="1">
      <c r="A113" s="20"/>
      <c r="B113" s="16"/>
      <c r="C113" s="16"/>
      <c r="D113" s="16"/>
      <c r="E113" s="16"/>
      <c r="F113" s="16"/>
      <c r="G113" s="16"/>
      <c r="H113" s="16"/>
      <c r="I113" s="16"/>
      <c r="J113" s="16"/>
      <c r="K113" s="14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K113" s="14" t="str">
        <f t="shared" si="1"/>
        <v/>
      </c>
    </row>
    <row r="114" ht="14.25" customHeight="1">
      <c r="A114" s="20"/>
      <c r="B114" s="16"/>
      <c r="C114" s="16"/>
      <c r="D114" s="16"/>
      <c r="E114" s="16"/>
      <c r="F114" s="16"/>
      <c r="G114" s="16"/>
      <c r="H114" s="16"/>
      <c r="I114" s="16"/>
      <c r="J114" s="16"/>
      <c r="K114" s="14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K114" s="14" t="str">
        <f t="shared" si="1"/>
        <v/>
      </c>
    </row>
    <row r="115" ht="14.25" customHeight="1">
      <c r="A115" s="20"/>
      <c r="B115" s="16"/>
      <c r="C115" s="16"/>
      <c r="D115" s="16"/>
      <c r="E115" s="16"/>
      <c r="F115" s="16"/>
      <c r="G115" s="16"/>
      <c r="H115" s="16"/>
      <c r="I115" s="16"/>
      <c r="J115" s="16"/>
      <c r="K115" s="14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K115" s="14" t="str">
        <f t="shared" si="1"/>
        <v/>
      </c>
    </row>
    <row r="116" ht="14.25" customHeight="1">
      <c r="A116" s="24"/>
      <c r="B116" s="16"/>
      <c r="C116" s="16"/>
      <c r="D116" s="16"/>
      <c r="E116" s="16"/>
      <c r="F116" s="16"/>
      <c r="G116" s="16"/>
      <c r="H116" s="16"/>
      <c r="I116" s="16"/>
      <c r="J116" s="16"/>
      <c r="K116" s="14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K116" s="14" t="str">
        <f t="shared" si="1"/>
        <v/>
      </c>
    </row>
    <row r="117" ht="14.25" customHeight="1">
      <c r="C117" s="16"/>
      <c r="D117" s="16"/>
      <c r="E117" s="16"/>
      <c r="F117" s="16"/>
      <c r="G117" s="16"/>
      <c r="H117" s="16"/>
      <c r="I117" s="16"/>
      <c r="J117" s="16"/>
      <c r="K117" s="14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4" t="str">
        <f t="shared" si="1"/>
        <v/>
      </c>
      <c r="BL117" s="16"/>
      <c r="BM117" s="16"/>
      <c r="BN117" s="16"/>
      <c r="BO117" s="16"/>
      <c r="BP117" s="16"/>
      <c r="BQ117" s="16"/>
      <c r="BR117" s="16"/>
    </row>
    <row r="118" ht="14.25" customHeight="1">
      <c r="C118" s="16"/>
      <c r="D118" s="16"/>
      <c r="E118" s="16"/>
      <c r="F118" s="16"/>
      <c r="G118" s="16"/>
      <c r="H118" s="16"/>
      <c r="I118" s="16"/>
      <c r="J118" s="16"/>
      <c r="K118" s="14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4" t="str">
        <f t="shared" si="1"/>
        <v/>
      </c>
      <c r="BL118" s="16"/>
      <c r="BM118" s="16"/>
      <c r="BN118" s="16"/>
      <c r="BO118" s="16"/>
      <c r="BP118" s="16"/>
      <c r="BQ118" s="16"/>
      <c r="BR118" s="16"/>
    </row>
    <row r="119" ht="14.25" customHeight="1">
      <c r="G119" s="33"/>
      <c r="K119" s="33"/>
      <c r="BK119" s="14" t="str">
        <f t="shared" si="1"/>
        <v/>
      </c>
    </row>
    <row r="120" ht="14.25" customHeight="1">
      <c r="G120" s="33"/>
      <c r="K120" s="33"/>
      <c r="BK120" s="14" t="str">
        <f t="shared" si="1"/>
        <v/>
      </c>
    </row>
    <row r="121" ht="14.25" customHeight="1">
      <c r="G121" s="33"/>
      <c r="K121" s="33"/>
      <c r="BK121" s="14" t="str">
        <f t="shared" si="1"/>
        <v/>
      </c>
    </row>
    <row r="122" ht="14.25" customHeight="1">
      <c r="G122" s="33"/>
      <c r="K122" s="33"/>
      <c r="BK122" s="14" t="str">
        <f t="shared" si="1"/>
        <v/>
      </c>
    </row>
    <row r="123" ht="14.25" customHeight="1">
      <c r="G123" s="33"/>
      <c r="K123" s="33"/>
      <c r="BK123" s="14" t="str">
        <f t="shared" si="1"/>
        <v/>
      </c>
    </row>
    <row r="124" ht="14.25" customHeight="1">
      <c r="G124" s="33"/>
      <c r="K124" s="33"/>
      <c r="BK124" s="14" t="str">
        <f t="shared" si="1"/>
        <v/>
      </c>
    </row>
    <row r="125" ht="14.25" customHeight="1">
      <c r="G125" s="33"/>
      <c r="K125" s="33"/>
    </row>
    <row r="126" ht="14.25" customHeight="1">
      <c r="G126" s="33"/>
      <c r="K126" s="33"/>
    </row>
    <row r="127" ht="14.25" customHeight="1">
      <c r="G127" s="33"/>
      <c r="K127" s="33"/>
    </row>
    <row r="128" ht="14.25" customHeight="1">
      <c r="G128" s="33"/>
      <c r="K128" s="33"/>
    </row>
    <row r="129" ht="14.25" customHeight="1">
      <c r="G129" s="33"/>
      <c r="K129" s="33"/>
    </row>
    <row r="130" ht="14.25" customHeight="1">
      <c r="G130" s="33"/>
      <c r="K130" s="33"/>
    </row>
    <row r="131" ht="14.25" customHeight="1">
      <c r="G131" s="33"/>
      <c r="K131" s="33"/>
    </row>
    <row r="132" ht="14.25" customHeight="1">
      <c r="G132" s="33"/>
      <c r="K132" s="33"/>
    </row>
    <row r="133" ht="14.25" customHeight="1">
      <c r="G133" s="33"/>
      <c r="K133" s="33"/>
    </row>
    <row r="134" ht="14.25" customHeight="1">
      <c r="G134" s="33"/>
      <c r="K134" s="33"/>
    </row>
    <row r="135" ht="14.25" customHeight="1">
      <c r="G135" s="33"/>
    </row>
    <row r="136" ht="14.25" customHeight="1">
      <c r="G136" s="33"/>
    </row>
    <row r="137" ht="14.25" customHeight="1">
      <c r="G137" s="33"/>
    </row>
    <row r="138" ht="14.25" customHeight="1">
      <c r="G138" s="33"/>
    </row>
    <row r="139" ht="14.25" customHeight="1">
      <c r="G139" s="33"/>
    </row>
    <row r="140" ht="14.25" customHeight="1">
      <c r="G140" s="33"/>
    </row>
    <row r="141" ht="14.25" customHeight="1">
      <c r="G141" s="33"/>
    </row>
    <row r="142" ht="14.25" customHeight="1">
      <c r="G142" s="33"/>
    </row>
    <row r="143" ht="14.25" customHeight="1">
      <c r="G143" s="33"/>
    </row>
    <row r="144" ht="14.25" customHeight="1">
      <c r="G144" s="33"/>
    </row>
    <row r="145" ht="14.25" customHeight="1">
      <c r="G145" s="33"/>
    </row>
    <row r="146" ht="14.25" customHeight="1">
      <c r="G146" s="33"/>
    </row>
    <row r="147" ht="14.25" customHeight="1">
      <c r="G147" s="33"/>
    </row>
    <row r="148" ht="14.25" customHeight="1">
      <c r="G148" s="33"/>
    </row>
    <row r="149" ht="14.25" customHeight="1">
      <c r="G149" s="33"/>
    </row>
    <row r="150" ht="14.25" customHeight="1">
      <c r="G150" s="33"/>
    </row>
    <row r="151" ht="14.25" customHeight="1">
      <c r="G151" s="33"/>
    </row>
    <row r="152" ht="14.25" customHeight="1">
      <c r="G152" s="33"/>
    </row>
    <row r="153" ht="14.25" customHeight="1">
      <c r="G153" s="33"/>
    </row>
    <row r="154" ht="14.25" customHeight="1">
      <c r="G154" s="33"/>
    </row>
    <row r="155" ht="14.25" customHeight="1">
      <c r="G155" s="33"/>
    </row>
    <row r="156" ht="14.25" customHeight="1">
      <c r="G156" s="33"/>
    </row>
    <row r="157" ht="14.25" customHeight="1">
      <c r="G157" s="33"/>
    </row>
    <row r="158" ht="14.25" customHeight="1">
      <c r="G158" s="33"/>
    </row>
    <row r="159" ht="14.25" customHeight="1">
      <c r="G159" s="33"/>
    </row>
    <row r="160" ht="14.25" customHeight="1">
      <c r="G160" s="33"/>
    </row>
    <row r="161" ht="14.25" customHeight="1">
      <c r="G161" s="33"/>
    </row>
    <row r="162" ht="14.25" customHeight="1">
      <c r="G162" s="33"/>
    </row>
    <row r="163" ht="14.25" customHeight="1">
      <c r="G163" s="33"/>
    </row>
    <row r="164" ht="14.25" customHeight="1">
      <c r="G164" s="33"/>
    </row>
    <row r="165" ht="14.25" customHeight="1">
      <c r="G165" s="33"/>
    </row>
    <row r="166" ht="14.25" customHeight="1">
      <c r="G166" s="33"/>
    </row>
    <row r="167" ht="14.25" customHeight="1">
      <c r="G167" s="33"/>
    </row>
    <row r="168" ht="14.25" customHeight="1">
      <c r="G168" s="33"/>
    </row>
    <row r="169" ht="14.25" customHeight="1">
      <c r="G169" s="33"/>
    </row>
    <row r="170" ht="14.25" customHeight="1">
      <c r="G170" s="33"/>
    </row>
    <row r="171" ht="14.25" customHeight="1">
      <c r="G171" s="33"/>
    </row>
    <row r="172" ht="14.25" customHeight="1">
      <c r="G172" s="33"/>
    </row>
    <row r="173" ht="14.25" customHeight="1">
      <c r="G173" s="33"/>
    </row>
    <row r="174" ht="14.25" customHeight="1">
      <c r="G174" s="33"/>
    </row>
    <row r="175" ht="14.25" customHeight="1">
      <c r="G175" s="33"/>
    </row>
    <row r="176" ht="14.25" customHeight="1">
      <c r="G176" s="33"/>
    </row>
    <row r="177" ht="14.25" customHeight="1">
      <c r="G177" s="33"/>
    </row>
    <row r="178" ht="14.25" customHeight="1">
      <c r="G178" s="33"/>
    </row>
    <row r="179" ht="14.25" customHeight="1">
      <c r="G179" s="33"/>
    </row>
    <row r="180" ht="14.25" customHeight="1">
      <c r="G180" s="33"/>
    </row>
    <row r="181" ht="14.25" customHeight="1">
      <c r="G181" s="33"/>
    </row>
    <row r="182" ht="14.25" customHeight="1">
      <c r="G182" s="33"/>
    </row>
    <row r="183" ht="14.25" customHeight="1">
      <c r="G183" s="33"/>
    </row>
    <row r="184" ht="14.25" customHeight="1">
      <c r="G184" s="33"/>
    </row>
    <row r="185" ht="14.25" customHeight="1">
      <c r="G185" s="33"/>
    </row>
    <row r="186" ht="14.25" customHeight="1">
      <c r="G186" s="33"/>
    </row>
    <row r="187" ht="14.25" customHeight="1">
      <c r="G187" s="33"/>
    </row>
    <row r="188" ht="14.25" customHeight="1">
      <c r="G188" s="33"/>
    </row>
    <row r="189" ht="14.25" customHeight="1">
      <c r="G189" s="33"/>
    </row>
    <row r="190" ht="14.25" customHeight="1">
      <c r="G190" s="33"/>
    </row>
    <row r="191" ht="14.25" customHeight="1">
      <c r="G191" s="33"/>
    </row>
    <row r="192" ht="14.25" customHeight="1">
      <c r="G192" s="33"/>
    </row>
    <row r="193" ht="14.25" customHeight="1">
      <c r="G193" s="33"/>
    </row>
    <row r="194" ht="14.25" customHeight="1">
      <c r="G194" s="33"/>
    </row>
    <row r="195" ht="14.25" customHeight="1">
      <c r="G195" s="33"/>
    </row>
    <row r="196" ht="14.25" customHeight="1">
      <c r="G196" s="33"/>
    </row>
    <row r="197" ht="14.25" customHeight="1">
      <c r="G197" s="33"/>
    </row>
    <row r="198" ht="14.25" customHeight="1">
      <c r="G198" s="33"/>
    </row>
    <row r="199" ht="14.25" customHeight="1">
      <c r="G199" s="33"/>
    </row>
    <row r="200" ht="14.25" customHeight="1">
      <c r="G200" s="33"/>
    </row>
    <row r="201" ht="14.25" customHeight="1">
      <c r="G201" s="33"/>
    </row>
    <row r="202" ht="14.25" customHeight="1">
      <c r="G202" s="33"/>
    </row>
    <row r="203" ht="14.25" customHeight="1">
      <c r="G203" s="33"/>
    </row>
    <row r="204" ht="14.25" customHeight="1">
      <c r="G204" s="33"/>
    </row>
    <row r="205" ht="14.25" customHeight="1">
      <c r="G205" s="33"/>
    </row>
    <row r="206" ht="14.25" customHeight="1">
      <c r="G206" s="33"/>
    </row>
    <row r="207" ht="14.25" customHeight="1">
      <c r="G207" s="33"/>
    </row>
    <row r="208" ht="14.25" customHeight="1">
      <c r="G208" s="33"/>
    </row>
    <row r="209" ht="14.25" customHeight="1">
      <c r="G209" s="33"/>
    </row>
    <row r="210" ht="14.25" customHeight="1">
      <c r="G210" s="33"/>
    </row>
    <row r="211" ht="14.25" customHeight="1">
      <c r="G211" s="33"/>
    </row>
    <row r="212" ht="14.25" customHeight="1">
      <c r="G212" s="33"/>
    </row>
    <row r="213" ht="14.25" customHeight="1">
      <c r="G213" s="33"/>
    </row>
    <row r="214" ht="14.25" customHeight="1">
      <c r="G214" s="33"/>
    </row>
    <row r="215" ht="14.25" customHeight="1">
      <c r="G215" s="33"/>
    </row>
    <row r="216" ht="14.25" customHeight="1">
      <c r="G216" s="33"/>
    </row>
    <row r="217" ht="14.25" customHeight="1">
      <c r="G217" s="33"/>
    </row>
    <row r="218" ht="14.25" customHeight="1">
      <c r="G218" s="33"/>
    </row>
    <row r="219" ht="14.25" customHeight="1">
      <c r="G219" s="33"/>
    </row>
    <row r="220" ht="14.25" customHeight="1">
      <c r="G220" s="33"/>
    </row>
    <row r="221" ht="14.25" customHeight="1">
      <c r="G221" s="33"/>
    </row>
    <row r="222" ht="14.25" customHeight="1">
      <c r="G222" s="33"/>
    </row>
    <row r="223" ht="14.25" customHeight="1">
      <c r="G223" s="33"/>
    </row>
    <row r="224" ht="14.25" customHeight="1">
      <c r="G224" s="33"/>
    </row>
    <row r="225" ht="14.25" customHeight="1">
      <c r="G225" s="33"/>
    </row>
    <row r="226" ht="14.25" customHeight="1">
      <c r="G226" s="33"/>
    </row>
    <row r="227" ht="14.25" customHeight="1">
      <c r="G227" s="33"/>
    </row>
    <row r="228" ht="14.25" customHeight="1">
      <c r="G228" s="33"/>
    </row>
    <row r="229" ht="14.25" customHeight="1">
      <c r="G229" s="33"/>
    </row>
    <row r="230" ht="14.25" customHeight="1">
      <c r="G230" s="33"/>
    </row>
    <row r="231" ht="14.25" customHeight="1">
      <c r="G231" s="33"/>
    </row>
    <row r="232" ht="14.25" customHeight="1">
      <c r="G232" s="33"/>
    </row>
    <row r="233" ht="14.25" customHeight="1">
      <c r="G233" s="33"/>
    </row>
    <row r="234" ht="14.25" customHeight="1">
      <c r="G234" s="33"/>
    </row>
    <row r="235" ht="14.25" customHeight="1">
      <c r="G235" s="33"/>
    </row>
    <row r="236" ht="14.25" customHeight="1">
      <c r="G236" s="33"/>
    </row>
    <row r="237" ht="14.25" customHeight="1">
      <c r="G237" s="33"/>
    </row>
    <row r="238" ht="14.25" customHeight="1">
      <c r="G238" s="33"/>
    </row>
    <row r="239" ht="14.25" customHeight="1">
      <c r="G239" s="33"/>
    </row>
    <row r="240" ht="14.25" customHeight="1">
      <c r="G240" s="33"/>
    </row>
    <row r="241" ht="14.25" customHeight="1">
      <c r="G241" s="33"/>
    </row>
    <row r="242" ht="14.25" customHeight="1">
      <c r="G242" s="33"/>
    </row>
    <row r="243" ht="14.25" customHeight="1">
      <c r="G243" s="33"/>
    </row>
    <row r="244" ht="14.25" customHeight="1">
      <c r="G244" s="33"/>
    </row>
    <row r="245" ht="14.25" customHeight="1">
      <c r="G245" s="33"/>
    </row>
    <row r="246" ht="14.25" customHeight="1">
      <c r="G246" s="33"/>
    </row>
    <row r="247" ht="14.25" customHeight="1">
      <c r="G247" s="33"/>
    </row>
    <row r="248" ht="14.25" customHeight="1">
      <c r="G248" s="33"/>
    </row>
    <row r="249" ht="14.25" customHeight="1">
      <c r="G249" s="33"/>
    </row>
    <row r="250" ht="14.25" customHeight="1">
      <c r="G250" s="33"/>
    </row>
    <row r="251" ht="14.25" customHeight="1">
      <c r="G251" s="33"/>
    </row>
    <row r="252" ht="14.25" customHeight="1">
      <c r="G252" s="33"/>
    </row>
    <row r="253" ht="14.25" customHeight="1">
      <c r="G253" s="33"/>
    </row>
    <row r="254" ht="14.25" customHeight="1">
      <c r="G254" s="33"/>
    </row>
    <row r="255" ht="14.25" customHeight="1">
      <c r="G255" s="33"/>
    </row>
    <row r="256" ht="14.25" customHeight="1">
      <c r="G256" s="33"/>
    </row>
    <row r="257" ht="14.25" customHeight="1">
      <c r="G257" s="33"/>
    </row>
    <row r="258" ht="14.25" customHeight="1">
      <c r="G258" s="33"/>
    </row>
    <row r="259" ht="14.25" customHeight="1">
      <c r="G259" s="33"/>
    </row>
    <row r="260" ht="14.25" customHeight="1">
      <c r="G260" s="33"/>
    </row>
    <row r="261" ht="14.25" customHeight="1">
      <c r="G261" s="33"/>
    </row>
    <row r="262" ht="14.25" customHeight="1">
      <c r="G262" s="33"/>
    </row>
    <row r="263" ht="14.25" customHeight="1">
      <c r="G263" s="33"/>
    </row>
    <row r="264" ht="14.25" customHeight="1">
      <c r="G264" s="33"/>
    </row>
    <row r="265" ht="14.25" customHeight="1">
      <c r="G265" s="33"/>
    </row>
    <row r="266" ht="14.25" customHeight="1">
      <c r="G266" s="33"/>
    </row>
    <row r="267" ht="14.25" customHeight="1">
      <c r="G267" s="33"/>
    </row>
    <row r="268" ht="14.25" customHeight="1">
      <c r="G268" s="33"/>
    </row>
    <row r="269" ht="14.25" customHeight="1">
      <c r="G269" s="33"/>
    </row>
    <row r="270" ht="14.25" customHeight="1">
      <c r="G270" s="33"/>
    </row>
    <row r="271" ht="14.25" customHeight="1">
      <c r="G271" s="33"/>
    </row>
    <row r="272" ht="14.25" customHeight="1">
      <c r="G272" s="33"/>
    </row>
    <row r="273" ht="14.25" customHeight="1">
      <c r="G273" s="33"/>
    </row>
    <row r="274" ht="14.25" customHeight="1">
      <c r="G274" s="33"/>
    </row>
    <row r="275" ht="14.25" customHeight="1">
      <c r="G275" s="33"/>
    </row>
    <row r="276" ht="14.25" customHeight="1">
      <c r="G276" s="33"/>
    </row>
    <row r="277" ht="14.25" customHeight="1">
      <c r="G277" s="33"/>
    </row>
    <row r="278" ht="14.25" customHeight="1">
      <c r="G278" s="33"/>
    </row>
    <row r="279" ht="14.25" customHeight="1">
      <c r="G279" s="33"/>
    </row>
    <row r="280" ht="14.25" customHeight="1">
      <c r="G280" s="33"/>
    </row>
    <row r="281" ht="14.25" customHeight="1">
      <c r="G281" s="33"/>
    </row>
    <row r="282" ht="14.25" customHeight="1">
      <c r="G282" s="33"/>
    </row>
    <row r="283" ht="14.25" customHeight="1">
      <c r="G283" s="33"/>
    </row>
    <row r="284" ht="14.25" customHeight="1">
      <c r="G284" s="33"/>
    </row>
    <row r="285" ht="14.25" customHeight="1">
      <c r="G285" s="33"/>
    </row>
    <row r="286" ht="14.25" customHeight="1">
      <c r="G286" s="33"/>
    </row>
    <row r="287" ht="14.25" customHeight="1">
      <c r="G287" s="33"/>
    </row>
    <row r="288" ht="14.25" customHeight="1">
      <c r="G288" s="33"/>
    </row>
    <row r="289" ht="14.25" customHeight="1">
      <c r="G289" s="33"/>
    </row>
    <row r="290" ht="14.25" customHeight="1">
      <c r="G290" s="33"/>
    </row>
    <row r="291" ht="14.25" customHeight="1">
      <c r="G291" s="33"/>
    </row>
    <row r="292" ht="14.25" customHeight="1">
      <c r="G292" s="33"/>
    </row>
    <row r="293" ht="14.25" customHeight="1">
      <c r="G293" s="33"/>
    </row>
    <row r="294" ht="14.25" customHeight="1">
      <c r="G294" s="33"/>
    </row>
    <row r="295" ht="14.25" customHeight="1">
      <c r="G295" s="33"/>
    </row>
    <row r="296" ht="14.25" customHeight="1">
      <c r="G296" s="33"/>
    </row>
    <row r="297" ht="14.25" customHeight="1">
      <c r="G297" s="33"/>
    </row>
    <row r="298" ht="14.25" customHeight="1">
      <c r="G298" s="33"/>
    </row>
    <row r="299" ht="14.25" customHeight="1">
      <c r="G299" s="33"/>
    </row>
    <row r="300" ht="14.25" customHeight="1">
      <c r="G300" s="33"/>
    </row>
    <row r="301" ht="14.25" customHeight="1">
      <c r="G301" s="33"/>
    </row>
    <row r="302" ht="14.25" customHeight="1">
      <c r="G302" s="33"/>
    </row>
    <row r="303" ht="14.25" customHeight="1">
      <c r="G303" s="33"/>
    </row>
    <row r="304" ht="14.25" customHeight="1">
      <c r="G304" s="33"/>
    </row>
    <row r="305" ht="14.25" customHeight="1">
      <c r="G305" s="33"/>
    </row>
    <row r="306" ht="14.25" customHeight="1">
      <c r="G306" s="33"/>
    </row>
    <row r="307" ht="14.25" customHeight="1">
      <c r="G307" s="33"/>
    </row>
    <row r="308" ht="14.25" customHeight="1">
      <c r="G308" s="33"/>
    </row>
    <row r="309" ht="14.25" customHeight="1">
      <c r="G309" s="33"/>
    </row>
    <row r="310" ht="14.25" customHeight="1">
      <c r="G310" s="33"/>
    </row>
    <row r="311" ht="14.25" customHeight="1">
      <c r="G311" s="33"/>
    </row>
    <row r="312" ht="14.25" customHeight="1">
      <c r="G312" s="33"/>
    </row>
    <row r="313" ht="14.25" customHeight="1">
      <c r="G313" s="33"/>
    </row>
    <row r="314" ht="14.25" customHeight="1">
      <c r="G314" s="33"/>
    </row>
    <row r="315" ht="14.25" customHeight="1">
      <c r="G315" s="33"/>
    </row>
    <row r="316" ht="14.25" customHeight="1">
      <c r="G316" s="33"/>
    </row>
    <row r="317" ht="14.25" customHeight="1">
      <c r="G317" s="33"/>
    </row>
    <row r="318" ht="14.25" customHeight="1">
      <c r="G318" s="33"/>
    </row>
    <row r="319" ht="14.25" customHeight="1">
      <c r="G319" s="33"/>
    </row>
    <row r="320" ht="14.25" customHeight="1">
      <c r="G320" s="33"/>
    </row>
    <row r="321" ht="14.25" customHeight="1">
      <c r="G321" s="33"/>
    </row>
    <row r="322" ht="14.25" customHeight="1">
      <c r="G322" s="33"/>
    </row>
    <row r="323" ht="14.25" customHeight="1">
      <c r="G323" s="33"/>
    </row>
    <row r="324" ht="14.25" customHeight="1">
      <c r="G324" s="33"/>
    </row>
    <row r="325" ht="14.25" customHeight="1">
      <c r="G325" s="33"/>
    </row>
    <row r="326" ht="14.25" customHeight="1">
      <c r="G326" s="33"/>
    </row>
    <row r="327" ht="14.25" customHeight="1">
      <c r="G327" s="33"/>
    </row>
    <row r="328" ht="14.25" customHeight="1">
      <c r="G328" s="33"/>
    </row>
    <row r="329" ht="14.25" customHeight="1">
      <c r="G329" s="33"/>
    </row>
    <row r="330" ht="14.25" customHeight="1">
      <c r="G330" s="33"/>
    </row>
    <row r="331" ht="14.25" customHeight="1">
      <c r="G331" s="33"/>
    </row>
    <row r="332" ht="14.25" customHeight="1">
      <c r="G332" s="33"/>
    </row>
    <row r="333" ht="14.25" customHeight="1">
      <c r="G333" s="33"/>
    </row>
    <row r="334" ht="14.25" customHeight="1">
      <c r="G334" s="33"/>
    </row>
    <row r="335" ht="14.25" customHeight="1">
      <c r="G335" s="33"/>
    </row>
    <row r="336" ht="14.25" customHeight="1">
      <c r="G336" s="33"/>
    </row>
    <row r="337" ht="14.25" customHeight="1">
      <c r="G337" s="33"/>
    </row>
    <row r="338" ht="14.25" customHeight="1">
      <c r="G338" s="33"/>
    </row>
    <row r="339" ht="14.25" customHeight="1">
      <c r="G339" s="33"/>
    </row>
    <row r="340" ht="14.25" customHeight="1">
      <c r="G340" s="33"/>
    </row>
    <row r="341" ht="14.25" customHeight="1">
      <c r="G341" s="33"/>
    </row>
    <row r="342" ht="14.25" customHeight="1">
      <c r="G342" s="33"/>
    </row>
    <row r="343" ht="14.25" customHeight="1">
      <c r="G343" s="33"/>
    </row>
    <row r="344" ht="14.25" customHeight="1">
      <c r="G344" s="33"/>
    </row>
    <row r="345" ht="14.25" customHeight="1">
      <c r="G345" s="33"/>
    </row>
    <row r="346" ht="14.25" customHeight="1">
      <c r="G346" s="33"/>
    </row>
    <row r="347" ht="14.25" customHeight="1">
      <c r="G347" s="33"/>
    </row>
    <row r="348" ht="14.25" customHeight="1">
      <c r="G348" s="33"/>
    </row>
    <row r="349" ht="14.25" customHeight="1">
      <c r="G349" s="33"/>
    </row>
    <row r="350" ht="14.25" customHeight="1">
      <c r="G350" s="33"/>
    </row>
    <row r="351" ht="14.25" customHeight="1">
      <c r="G351" s="33"/>
    </row>
    <row r="352" ht="14.25" customHeight="1">
      <c r="G352" s="33"/>
    </row>
    <row r="353" ht="14.25" customHeight="1">
      <c r="G353" s="33"/>
    </row>
    <row r="354" ht="14.25" customHeight="1">
      <c r="G354" s="33"/>
    </row>
    <row r="355" ht="14.25" customHeight="1">
      <c r="G355" s="33"/>
    </row>
    <row r="356" ht="14.25" customHeight="1">
      <c r="G356" s="33"/>
    </row>
    <row r="357" ht="14.25" customHeight="1">
      <c r="G357" s="33"/>
    </row>
    <row r="358" ht="14.25" customHeight="1">
      <c r="G358" s="33"/>
    </row>
    <row r="359" ht="14.25" customHeight="1">
      <c r="G359" s="33"/>
    </row>
    <row r="360" ht="14.25" customHeight="1">
      <c r="G360" s="33"/>
    </row>
    <row r="361" ht="14.25" customHeight="1">
      <c r="G361" s="33"/>
    </row>
    <row r="362" ht="14.25" customHeight="1">
      <c r="G362" s="33"/>
    </row>
    <row r="363" ht="14.25" customHeight="1">
      <c r="G363" s="33"/>
    </row>
    <row r="364" ht="14.25" customHeight="1">
      <c r="G364" s="33"/>
    </row>
    <row r="365" ht="14.25" customHeight="1">
      <c r="G365" s="33"/>
    </row>
    <row r="366" ht="14.25" customHeight="1">
      <c r="G366" s="33"/>
    </row>
    <row r="367" ht="14.25" customHeight="1">
      <c r="G367" s="33"/>
    </row>
    <row r="368" ht="14.25" customHeight="1">
      <c r="G368" s="33"/>
    </row>
    <row r="369" ht="14.25" customHeight="1">
      <c r="G369" s="33"/>
    </row>
    <row r="370" ht="14.25" customHeight="1">
      <c r="G370" s="33"/>
    </row>
    <row r="371" ht="14.25" customHeight="1">
      <c r="G371" s="33"/>
    </row>
    <row r="372" ht="14.25" customHeight="1">
      <c r="G372" s="33"/>
    </row>
    <row r="373" ht="14.25" customHeight="1">
      <c r="G373" s="33"/>
    </row>
    <row r="374" ht="14.25" customHeight="1">
      <c r="G374" s="33"/>
    </row>
    <row r="375" ht="14.25" customHeight="1">
      <c r="G375" s="33"/>
    </row>
    <row r="376" ht="14.25" customHeight="1">
      <c r="G376" s="33"/>
    </row>
    <row r="377" ht="14.25" customHeight="1">
      <c r="G377" s="33"/>
    </row>
    <row r="378" ht="14.25" customHeight="1">
      <c r="G378" s="33"/>
    </row>
    <row r="379" ht="14.25" customHeight="1">
      <c r="G379" s="33"/>
    </row>
    <row r="380" ht="14.25" customHeight="1">
      <c r="G380" s="33"/>
    </row>
    <row r="381" ht="14.25" customHeight="1">
      <c r="G381" s="33"/>
    </row>
    <row r="382" ht="14.25" customHeight="1">
      <c r="G382" s="33"/>
    </row>
    <row r="383" ht="14.25" customHeight="1">
      <c r="G383" s="33"/>
    </row>
    <row r="384" ht="14.25" customHeight="1">
      <c r="G384" s="33"/>
    </row>
    <row r="385" ht="14.25" customHeight="1">
      <c r="G385" s="33"/>
    </row>
    <row r="386" ht="14.25" customHeight="1">
      <c r="G386" s="33"/>
    </row>
    <row r="387" ht="14.25" customHeight="1">
      <c r="G387" s="33"/>
    </row>
    <row r="388" ht="14.25" customHeight="1">
      <c r="G388" s="33"/>
    </row>
    <row r="389" ht="14.25" customHeight="1">
      <c r="G389" s="33"/>
    </row>
    <row r="390" ht="14.25" customHeight="1">
      <c r="G390" s="33"/>
    </row>
    <row r="391" ht="14.25" customHeight="1">
      <c r="G391" s="33"/>
    </row>
    <row r="392" ht="14.25" customHeight="1">
      <c r="G392" s="33"/>
    </row>
    <row r="393" ht="14.25" customHeight="1">
      <c r="G393" s="33"/>
    </row>
    <row r="394" ht="14.25" customHeight="1">
      <c r="G394" s="33"/>
    </row>
    <row r="395" ht="14.25" customHeight="1">
      <c r="G395" s="33"/>
    </row>
    <row r="396" ht="14.25" customHeight="1">
      <c r="G396" s="33"/>
    </row>
    <row r="397" ht="14.25" customHeight="1">
      <c r="G397" s="33"/>
    </row>
    <row r="398" ht="14.25" customHeight="1">
      <c r="G398" s="33"/>
    </row>
    <row r="399" ht="14.25" customHeight="1">
      <c r="G399" s="33"/>
    </row>
    <row r="400" ht="14.25" customHeight="1">
      <c r="G400" s="33"/>
    </row>
    <row r="401" ht="14.25" customHeight="1">
      <c r="G401" s="33"/>
    </row>
    <row r="402" ht="14.25" customHeight="1">
      <c r="G402" s="33"/>
    </row>
    <row r="403" ht="14.25" customHeight="1">
      <c r="G403" s="33"/>
    </row>
    <row r="404" ht="14.25" customHeight="1">
      <c r="G404" s="33"/>
    </row>
    <row r="405" ht="14.25" customHeight="1">
      <c r="G405" s="33"/>
    </row>
    <row r="406" ht="14.25" customHeight="1">
      <c r="G406" s="33"/>
    </row>
    <row r="407" ht="14.25" customHeight="1">
      <c r="G407" s="33"/>
    </row>
    <row r="408" ht="14.25" customHeight="1">
      <c r="G408" s="33"/>
    </row>
    <row r="409" ht="14.25" customHeight="1">
      <c r="G409" s="33"/>
    </row>
    <row r="410" ht="14.25" customHeight="1">
      <c r="G410" s="33"/>
    </row>
    <row r="411" ht="14.25" customHeight="1">
      <c r="G411" s="33"/>
    </row>
    <row r="412" ht="14.25" customHeight="1">
      <c r="G412" s="33"/>
    </row>
    <row r="413" ht="14.25" customHeight="1">
      <c r="G413" s="33"/>
    </row>
    <row r="414" ht="14.25" customHeight="1">
      <c r="G414" s="33"/>
    </row>
    <row r="415" ht="14.25" customHeight="1">
      <c r="G415" s="33"/>
    </row>
    <row r="416" ht="14.25" customHeight="1">
      <c r="G416" s="33"/>
    </row>
    <row r="417" ht="14.25" customHeight="1">
      <c r="G417" s="33"/>
    </row>
    <row r="418" ht="14.25" customHeight="1">
      <c r="G418" s="33"/>
    </row>
    <row r="419" ht="14.25" customHeight="1">
      <c r="G419" s="33"/>
    </row>
    <row r="420" ht="14.25" customHeight="1">
      <c r="G420" s="33"/>
    </row>
    <row r="421" ht="14.25" customHeight="1">
      <c r="G421" s="33"/>
    </row>
    <row r="422" ht="14.25" customHeight="1">
      <c r="G422" s="33"/>
    </row>
    <row r="423" ht="14.25" customHeight="1">
      <c r="G423" s="33"/>
    </row>
    <row r="424" ht="14.25" customHeight="1">
      <c r="G424" s="33"/>
    </row>
    <row r="425" ht="14.25" customHeight="1">
      <c r="G425" s="33"/>
    </row>
    <row r="426" ht="14.25" customHeight="1">
      <c r="G426" s="33"/>
    </row>
    <row r="427" ht="14.25" customHeight="1">
      <c r="G427" s="33"/>
    </row>
    <row r="428" ht="14.25" customHeight="1">
      <c r="G428" s="33"/>
    </row>
    <row r="429" ht="14.25" customHeight="1">
      <c r="G429" s="33"/>
    </row>
    <row r="430" ht="14.25" customHeight="1">
      <c r="G430" s="33"/>
    </row>
    <row r="431" ht="14.25" customHeight="1">
      <c r="G431" s="33"/>
    </row>
    <row r="432" ht="14.25" customHeight="1">
      <c r="G432" s="33"/>
    </row>
    <row r="433" ht="14.25" customHeight="1">
      <c r="G433" s="33"/>
    </row>
    <row r="434" ht="14.25" customHeight="1">
      <c r="G434" s="33"/>
    </row>
    <row r="435" ht="14.25" customHeight="1">
      <c r="G435" s="33"/>
    </row>
    <row r="436" ht="14.25" customHeight="1">
      <c r="G436" s="33"/>
    </row>
    <row r="437" ht="14.25" customHeight="1">
      <c r="G437" s="33"/>
    </row>
    <row r="438" ht="14.25" customHeight="1">
      <c r="G438" s="33"/>
    </row>
    <row r="439" ht="14.25" customHeight="1">
      <c r="G439" s="33"/>
    </row>
    <row r="440" ht="14.25" customHeight="1">
      <c r="G440" s="33"/>
    </row>
    <row r="441" ht="14.25" customHeight="1">
      <c r="G441" s="33"/>
    </row>
    <row r="442" ht="14.25" customHeight="1">
      <c r="G442" s="33"/>
    </row>
    <row r="443" ht="14.25" customHeight="1">
      <c r="G443" s="33"/>
    </row>
    <row r="444" ht="14.25" customHeight="1">
      <c r="G444" s="33"/>
    </row>
    <row r="445" ht="14.25" customHeight="1">
      <c r="G445" s="33"/>
    </row>
    <row r="446" ht="14.25" customHeight="1">
      <c r="G446" s="33"/>
    </row>
    <row r="447" ht="14.25" customHeight="1">
      <c r="G447" s="33"/>
    </row>
    <row r="448" ht="14.25" customHeight="1">
      <c r="G448" s="33"/>
    </row>
    <row r="449" ht="14.25" customHeight="1">
      <c r="G449" s="33"/>
    </row>
    <row r="450" ht="14.25" customHeight="1">
      <c r="G450" s="33"/>
    </row>
    <row r="451" ht="14.25" customHeight="1">
      <c r="G451" s="33"/>
    </row>
    <row r="452" ht="14.25" customHeight="1">
      <c r="G452" s="33"/>
    </row>
    <row r="453" ht="14.25" customHeight="1">
      <c r="G453" s="33"/>
    </row>
    <row r="454" ht="14.25" customHeight="1">
      <c r="G454" s="33"/>
    </row>
    <row r="455" ht="14.25" customHeight="1">
      <c r="G455" s="33"/>
    </row>
    <row r="456" ht="14.25" customHeight="1">
      <c r="G456" s="33"/>
    </row>
    <row r="457" ht="14.25" customHeight="1">
      <c r="G457" s="33"/>
    </row>
    <row r="458" ht="14.25" customHeight="1">
      <c r="G458" s="33"/>
    </row>
    <row r="459" ht="14.25" customHeight="1">
      <c r="G459" s="33"/>
    </row>
    <row r="460" ht="14.25" customHeight="1">
      <c r="G460" s="33"/>
    </row>
    <row r="461" ht="14.25" customHeight="1">
      <c r="G461" s="33"/>
    </row>
    <row r="462" ht="14.25" customHeight="1">
      <c r="G462" s="33"/>
    </row>
    <row r="463" ht="14.25" customHeight="1">
      <c r="G463" s="33"/>
    </row>
    <row r="464" ht="14.25" customHeight="1">
      <c r="G464" s="33"/>
    </row>
    <row r="465" ht="14.25" customHeight="1">
      <c r="G465" s="33"/>
    </row>
    <row r="466" ht="14.25" customHeight="1">
      <c r="G466" s="33"/>
    </row>
    <row r="467" ht="14.25" customHeight="1">
      <c r="G467" s="33"/>
    </row>
    <row r="468" ht="14.25" customHeight="1">
      <c r="G468" s="33"/>
    </row>
    <row r="469" ht="14.25" customHeight="1">
      <c r="G469" s="33"/>
    </row>
    <row r="470" ht="14.25" customHeight="1">
      <c r="G470" s="33"/>
    </row>
    <row r="471" ht="14.25" customHeight="1">
      <c r="G471" s="33"/>
    </row>
    <row r="472" ht="14.25" customHeight="1">
      <c r="G472" s="33"/>
    </row>
    <row r="473" ht="14.25" customHeight="1">
      <c r="G473" s="33"/>
    </row>
    <row r="474" ht="14.25" customHeight="1">
      <c r="G474" s="33"/>
    </row>
    <row r="475" ht="14.25" customHeight="1">
      <c r="G475" s="33"/>
    </row>
    <row r="476" ht="14.25" customHeight="1">
      <c r="G476" s="33"/>
    </row>
    <row r="477" ht="14.25" customHeight="1">
      <c r="G477" s="33"/>
    </row>
    <row r="478" ht="14.25" customHeight="1">
      <c r="G478" s="33"/>
    </row>
    <row r="479" ht="14.25" customHeight="1">
      <c r="G479" s="33"/>
    </row>
    <row r="480" ht="14.25" customHeight="1">
      <c r="G480" s="33"/>
    </row>
    <row r="481" ht="14.25" customHeight="1">
      <c r="G481" s="33"/>
    </row>
    <row r="482" ht="14.25" customHeight="1">
      <c r="G482" s="33"/>
    </row>
    <row r="483" ht="14.25" customHeight="1">
      <c r="G483" s="33"/>
    </row>
    <row r="484" ht="14.25" customHeight="1">
      <c r="G484" s="33"/>
    </row>
    <row r="485" ht="14.25" customHeight="1">
      <c r="G485" s="33"/>
    </row>
    <row r="486" ht="14.25" customHeight="1">
      <c r="G486" s="33"/>
    </row>
    <row r="487" ht="14.25" customHeight="1">
      <c r="G487" s="33"/>
    </row>
    <row r="488" ht="14.25" customHeight="1">
      <c r="G488" s="33"/>
    </row>
    <row r="489" ht="14.25" customHeight="1">
      <c r="G489" s="33"/>
    </row>
    <row r="490" ht="14.25" customHeight="1">
      <c r="G490" s="33"/>
    </row>
    <row r="491" ht="14.25" customHeight="1">
      <c r="G491" s="33"/>
    </row>
    <row r="492" ht="14.25" customHeight="1">
      <c r="G492" s="33"/>
    </row>
    <row r="493" ht="14.25" customHeight="1">
      <c r="G493" s="33"/>
    </row>
    <row r="494" ht="14.25" customHeight="1">
      <c r="G494" s="33"/>
    </row>
    <row r="495" ht="14.25" customHeight="1">
      <c r="G495" s="33"/>
    </row>
    <row r="496" ht="14.25" customHeight="1">
      <c r="G496" s="33"/>
    </row>
    <row r="497" ht="14.25" customHeight="1">
      <c r="G497" s="33"/>
    </row>
    <row r="498" ht="14.25" customHeight="1">
      <c r="G498" s="33"/>
    </row>
    <row r="499" ht="14.25" customHeight="1">
      <c r="G499" s="33"/>
    </row>
    <row r="500" ht="14.25" customHeight="1">
      <c r="G500" s="33"/>
    </row>
    <row r="501" ht="14.25" customHeight="1">
      <c r="G501" s="33"/>
    </row>
    <row r="502" ht="14.25" customHeight="1">
      <c r="G502" s="33"/>
    </row>
    <row r="503" ht="14.25" customHeight="1">
      <c r="G503" s="33"/>
    </row>
    <row r="504" ht="14.25" customHeight="1">
      <c r="G504" s="33"/>
    </row>
    <row r="505" ht="14.25" customHeight="1">
      <c r="G505" s="33"/>
    </row>
    <row r="506" ht="14.25" customHeight="1">
      <c r="G506" s="33"/>
    </row>
    <row r="507" ht="14.25" customHeight="1">
      <c r="G507" s="33"/>
    </row>
    <row r="508" ht="14.25" customHeight="1">
      <c r="G508" s="33"/>
    </row>
    <row r="509" ht="14.25" customHeight="1">
      <c r="G509" s="33"/>
    </row>
    <row r="510" ht="14.25" customHeight="1">
      <c r="G510" s="33"/>
    </row>
    <row r="511" ht="14.25" customHeight="1">
      <c r="G511" s="33"/>
    </row>
    <row r="512" ht="14.25" customHeight="1">
      <c r="G512" s="33"/>
    </row>
    <row r="513" ht="14.25" customHeight="1">
      <c r="G513" s="33"/>
    </row>
    <row r="514" ht="14.25" customHeight="1">
      <c r="G514" s="33"/>
    </row>
    <row r="515" ht="14.25" customHeight="1">
      <c r="G515" s="33"/>
    </row>
    <row r="516" ht="14.25" customHeight="1">
      <c r="G516" s="33"/>
    </row>
    <row r="517" ht="14.25" customHeight="1">
      <c r="G517" s="33"/>
    </row>
    <row r="518" ht="14.25" customHeight="1">
      <c r="G518" s="33"/>
    </row>
    <row r="519" ht="14.25" customHeight="1">
      <c r="G519" s="33"/>
    </row>
    <row r="520" ht="14.25" customHeight="1">
      <c r="G520" s="33"/>
    </row>
    <row r="521" ht="14.25" customHeight="1">
      <c r="G521" s="33"/>
    </row>
    <row r="522" ht="14.25" customHeight="1">
      <c r="G522" s="33"/>
    </row>
    <row r="523" ht="14.25" customHeight="1">
      <c r="G523" s="33"/>
    </row>
    <row r="524" ht="14.25" customHeight="1">
      <c r="G524" s="33"/>
    </row>
    <row r="525" ht="14.25" customHeight="1">
      <c r="G525" s="33"/>
    </row>
    <row r="526" ht="14.25" customHeight="1">
      <c r="G526" s="33"/>
    </row>
    <row r="527" ht="14.25" customHeight="1">
      <c r="G527" s="33"/>
    </row>
    <row r="528" ht="14.25" customHeight="1">
      <c r="G528" s="33"/>
    </row>
    <row r="529" ht="14.25" customHeight="1">
      <c r="G529" s="33"/>
    </row>
    <row r="530" ht="14.25" customHeight="1">
      <c r="G530" s="33"/>
    </row>
    <row r="531" ht="14.25" customHeight="1">
      <c r="G531" s="33"/>
    </row>
    <row r="532" ht="14.25" customHeight="1">
      <c r="G532" s="33"/>
    </row>
    <row r="533" ht="14.25" customHeight="1">
      <c r="G533" s="33"/>
    </row>
    <row r="534" ht="14.25" customHeight="1">
      <c r="G534" s="33"/>
    </row>
    <row r="535" ht="14.25" customHeight="1">
      <c r="G535" s="33"/>
    </row>
    <row r="536" ht="14.25" customHeight="1">
      <c r="G536" s="33"/>
    </row>
    <row r="537" ht="14.25" customHeight="1">
      <c r="G537" s="33"/>
    </row>
    <row r="538" ht="14.25" customHeight="1">
      <c r="G538" s="33"/>
    </row>
    <row r="539" ht="14.25" customHeight="1">
      <c r="G539" s="33"/>
    </row>
    <row r="540" ht="14.25" customHeight="1">
      <c r="G540" s="33"/>
    </row>
    <row r="541" ht="14.25" customHeight="1">
      <c r="G541" s="33"/>
    </row>
    <row r="542" ht="14.25" customHeight="1">
      <c r="G542" s="33"/>
    </row>
    <row r="543" ht="14.25" customHeight="1">
      <c r="G543" s="33"/>
    </row>
    <row r="544" ht="14.25" customHeight="1">
      <c r="G544" s="33"/>
    </row>
    <row r="545" ht="14.25" customHeight="1">
      <c r="G545" s="33"/>
    </row>
    <row r="546" ht="14.25" customHeight="1">
      <c r="G546" s="33"/>
    </row>
    <row r="547" ht="14.25" customHeight="1">
      <c r="G547" s="33"/>
    </row>
    <row r="548" ht="14.25" customHeight="1">
      <c r="G548" s="33"/>
    </row>
    <row r="549" ht="14.25" customHeight="1">
      <c r="G549" s="33"/>
    </row>
    <row r="550" ht="14.25" customHeight="1">
      <c r="G550" s="33"/>
    </row>
    <row r="551" ht="14.25" customHeight="1">
      <c r="G551" s="33"/>
    </row>
    <row r="552" ht="14.25" customHeight="1">
      <c r="G552" s="33"/>
    </row>
    <row r="553" ht="14.25" customHeight="1">
      <c r="G553" s="33"/>
    </row>
    <row r="554" ht="14.25" customHeight="1">
      <c r="G554" s="33"/>
    </row>
    <row r="555" ht="14.25" customHeight="1">
      <c r="G555" s="33"/>
    </row>
    <row r="556" ht="14.25" customHeight="1">
      <c r="G556" s="33"/>
    </row>
    <row r="557" ht="14.25" customHeight="1">
      <c r="G557" s="33"/>
    </row>
    <row r="558" ht="14.25" customHeight="1">
      <c r="G558" s="33"/>
    </row>
    <row r="559" ht="14.25" customHeight="1">
      <c r="G559" s="33"/>
    </row>
    <row r="560" ht="14.25" customHeight="1">
      <c r="G560" s="33"/>
    </row>
    <row r="561" ht="14.25" customHeight="1">
      <c r="G561" s="33"/>
    </row>
    <row r="562" ht="14.25" customHeight="1">
      <c r="G562" s="33"/>
    </row>
    <row r="563" ht="14.25" customHeight="1">
      <c r="G563" s="33"/>
    </row>
    <row r="564" ht="14.25" customHeight="1">
      <c r="G564" s="33"/>
    </row>
    <row r="565" ht="14.25" customHeight="1">
      <c r="G565" s="33"/>
    </row>
    <row r="566" ht="14.25" customHeight="1">
      <c r="G566" s="33"/>
    </row>
    <row r="567" ht="14.25" customHeight="1">
      <c r="G567" s="33"/>
    </row>
    <row r="568" ht="14.25" customHeight="1">
      <c r="G568" s="33"/>
    </row>
    <row r="569" ht="14.25" customHeight="1">
      <c r="G569" s="33"/>
    </row>
    <row r="570" ht="14.25" customHeight="1">
      <c r="G570" s="33"/>
    </row>
    <row r="571" ht="14.25" customHeight="1">
      <c r="G571" s="33"/>
    </row>
    <row r="572" ht="14.25" customHeight="1">
      <c r="G572" s="33"/>
    </row>
    <row r="573" ht="14.25" customHeight="1">
      <c r="G573" s="33"/>
    </row>
    <row r="574" ht="14.25" customHeight="1">
      <c r="G574" s="33"/>
    </row>
    <row r="575" ht="14.25" customHeight="1">
      <c r="G575" s="33"/>
    </row>
    <row r="576" ht="14.25" customHeight="1">
      <c r="G576" s="33"/>
    </row>
    <row r="577" ht="14.25" customHeight="1">
      <c r="G577" s="33"/>
    </row>
    <row r="578" ht="14.25" customHeight="1">
      <c r="G578" s="33"/>
    </row>
    <row r="579" ht="14.25" customHeight="1">
      <c r="G579" s="33"/>
    </row>
    <row r="580" ht="14.25" customHeight="1">
      <c r="G580" s="33"/>
    </row>
    <row r="581" ht="14.25" customHeight="1">
      <c r="G581" s="33"/>
    </row>
    <row r="582" ht="14.25" customHeight="1">
      <c r="G582" s="33"/>
    </row>
    <row r="583" ht="14.25" customHeight="1">
      <c r="G583" s="33"/>
    </row>
    <row r="584" ht="14.25" customHeight="1">
      <c r="G584" s="33"/>
    </row>
    <row r="585" ht="14.25" customHeight="1">
      <c r="G585" s="33"/>
    </row>
    <row r="586" ht="14.25" customHeight="1">
      <c r="G586" s="33"/>
    </row>
    <row r="587" ht="14.25" customHeight="1">
      <c r="G587" s="33"/>
    </row>
    <row r="588" ht="14.25" customHeight="1">
      <c r="G588" s="33"/>
    </row>
    <row r="589" ht="14.25" customHeight="1">
      <c r="G589" s="33"/>
    </row>
    <row r="590" ht="14.25" customHeight="1">
      <c r="G590" s="33"/>
    </row>
    <row r="591" ht="14.25" customHeight="1">
      <c r="G591" s="33"/>
    </row>
    <row r="592" ht="14.25" customHeight="1">
      <c r="G592" s="33"/>
    </row>
    <row r="593" ht="14.25" customHeight="1">
      <c r="G593" s="33"/>
    </row>
    <row r="594" ht="14.25" customHeight="1">
      <c r="G594" s="33"/>
    </row>
    <row r="595" ht="14.25" customHeight="1">
      <c r="G595" s="33"/>
    </row>
    <row r="596" ht="14.25" customHeight="1">
      <c r="G596" s="33"/>
    </row>
    <row r="597" ht="14.25" customHeight="1">
      <c r="G597" s="33"/>
    </row>
    <row r="598" ht="14.25" customHeight="1">
      <c r="G598" s="33"/>
    </row>
    <row r="599" ht="14.25" customHeight="1">
      <c r="G599" s="33"/>
    </row>
    <row r="600" ht="14.25" customHeight="1">
      <c r="G600" s="33"/>
    </row>
    <row r="601" ht="14.25" customHeight="1">
      <c r="G601" s="33"/>
    </row>
    <row r="602" ht="14.25" customHeight="1">
      <c r="G602" s="33"/>
    </row>
    <row r="603" ht="14.25" customHeight="1">
      <c r="G603" s="33"/>
    </row>
    <row r="604" ht="14.25" customHeight="1">
      <c r="G604" s="33"/>
    </row>
    <row r="605" ht="14.25" customHeight="1">
      <c r="G605" s="33"/>
    </row>
    <row r="606" ht="14.25" customHeight="1">
      <c r="G606" s="33"/>
    </row>
    <row r="607" ht="14.25" customHeight="1">
      <c r="G607" s="33"/>
    </row>
    <row r="608" ht="14.25" customHeight="1">
      <c r="G608" s="33"/>
    </row>
    <row r="609" ht="14.25" customHeight="1">
      <c r="G609" s="33"/>
    </row>
    <row r="610" ht="14.25" customHeight="1">
      <c r="G610" s="33"/>
    </row>
    <row r="611" ht="14.25" customHeight="1">
      <c r="G611" s="33"/>
    </row>
    <row r="612" ht="14.25" customHeight="1">
      <c r="G612" s="33"/>
    </row>
    <row r="613" ht="14.25" customHeight="1">
      <c r="G613" s="33"/>
    </row>
    <row r="614" ht="14.25" customHeight="1">
      <c r="G614" s="33"/>
    </row>
    <row r="615" ht="14.25" customHeight="1">
      <c r="G615" s="33"/>
    </row>
    <row r="616" ht="14.25" customHeight="1">
      <c r="G616" s="33"/>
    </row>
    <row r="617" ht="14.25" customHeight="1">
      <c r="G617" s="33"/>
    </row>
    <row r="618" ht="14.25" customHeight="1">
      <c r="G618" s="33"/>
    </row>
    <row r="619" ht="14.25" customHeight="1">
      <c r="G619" s="33"/>
    </row>
    <row r="620" ht="14.25" customHeight="1">
      <c r="G620" s="33"/>
    </row>
    <row r="621" ht="14.25" customHeight="1">
      <c r="G621" s="33"/>
    </row>
    <row r="622" ht="14.25" customHeight="1">
      <c r="G622" s="33"/>
    </row>
    <row r="623" ht="14.25" customHeight="1">
      <c r="G623" s="33"/>
    </row>
    <row r="624" ht="14.25" customHeight="1">
      <c r="G624" s="33"/>
    </row>
    <row r="625" ht="14.25" customHeight="1">
      <c r="G625" s="33"/>
    </row>
    <row r="626" ht="14.25" customHeight="1">
      <c r="G626" s="33"/>
    </row>
    <row r="627" ht="14.25" customHeight="1">
      <c r="G627" s="33"/>
    </row>
    <row r="628" ht="14.25" customHeight="1">
      <c r="G628" s="33"/>
    </row>
    <row r="629" ht="14.25" customHeight="1">
      <c r="G629" s="33"/>
    </row>
    <row r="630" ht="14.25" customHeight="1">
      <c r="G630" s="33"/>
    </row>
    <row r="631" ht="14.25" customHeight="1">
      <c r="G631" s="33"/>
    </row>
    <row r="632" ht="14.25" customHeight="1">
      <c r="G632" s="33"/>
    </row>
    <row r="633" ht="14.25" customHeight="1">
      <c r="G633" s="33"/>
    </row>
    <row r="634" ht="14.25" customHeight="1">
      <c r="G634" s="33"/>
    </row>
    <row r="635" ht="14.25" customHeight="1">
      <c r="G635" s="33"/>
    </row>
    <row r="636" ht="14.25" customHeight="1">
      <c r="G636" s="33"/>
    </row>
    <row r="637" ht="14.25" customHeight="1">
      <c r="G637" s="33"/>
    </row>
    <row r="638" ht="14.25" customHeight="1">
      <c r="G638" s="33"/>
    </row>
    <row r="639" ht="14.25" customHeight="1">
      <c r="G639" s="33"/>
    </row>
    <row r="640" ht="14.25" customHeight="1">
      <c r="G640" s="33"/>
    </row>
    <row r="641" ht="14.25" customHeight="1">
      <c r="G641" s="33"/>
    </row>
    <row r="642" ht="14.25" customHeight="1">
      <c r="G642" s="33"/>
    </row>
    <row r="643" ht="14.25" customHeight="1">
      <c r="G643" s="33"/>
    </row>
    <row r="644" ht="14.25" customHeight="1">
      <c r="G644" s="33"/>
    </row>
    <row r="645" ht="14.25" customHeight="1">
      <c r="G645" s="33"/>
    </row>
    <row r="646" ht="14.25" customHeight="1">
      <c r="G646" s="33"/>
    </row>
    <row r="647" ht="14.25" customHeight="1">
      <c r="G647" s="33"/>
    </row>
    <row r="648" ht="14.25" customHeight="1">
      <c r="G648" s="33"/>
    </row>
    <row r="649" ht="14.25" customHeight="1">
      <c r="G649" s="33"/>
    </row>
    <row r="650" ht="14.25" customHeight="1">
      <c r="G650" s="33"/>
    </row>
    <row r="651" ht="14.25" customHeight="1">
      <c r="G651" s="33"/>
    </row>
    <row r="652" ht="14.25" customHeight="1">
      <c r="G652" s="33"/>
    </row>
    <row r="653" ht="14.25" customHeight="1">
      <c r="G653" s="33"/>
    </row>
    <row r="654" ht="14.25" customHeight="1">
      <c r="G654" s="33"/>
    </row>
    <row r="655" ht="14.25" customHeight="1">
      <c r="G655" s="33"/>
    </row>
    <row r="656" ht="14.25" customHeight="1">
      <c r="G656" s="33"/>
    </row>
    <row r="657" ht="14.25" customHeight="1">
      <c r="G657" s="33"/>
    </row>
    <row r="658" ht="14.25" customHeight="1">
      <c r="G658" s="33"/>
    </row>
    <row r="659" ht="14.25" customHeight="1">
      <c r="G659" s="33"/>
    </row>
    <row r="660" ht="14.25" customHeight="1">
      <c r="G660" s="33"/>
    </row>
    <row r="661" ht="14.25" customHeight="1">
      <c r="G661" s="33"/>
    </row>
    <row r="662" ht="14.25" customHeight="1">
      <c r="G662" s="33"/>
    </row>
    <row r="663" ht="14.25" customHeight="1">
      <c r="G663" s="33"/>
    </row>
    <row r="664" ht="14.25" customHeight="1">
      <c r="G664" s="33"/>
    </row>
    <row r="665" ht="14.25" customHeight="1">
      <c r="G665" s="33"/>
    </row>
    <row r="666" ht="14.25" customHeight="1">
      <c r="G666" s="33"/>
    </row>
    <row r="667" ht="14.25" customHeight="1">
      <c r="G667" s="33"/>
    </row>
    <row r="668" ht="14.25" customHeight="1">
      <c r="G668" s="33"/>
    </row>
    <row r="669" ht="14.25" customHeight="1">
      <c r="G669" s="33"/>
    </row>
    <row r="670" ht="14.25" customHeight="1">
      <c r="G670" s="33"/>
    </row>
    <row r="671" ht="14.25" customHeight="1">
      <c r="G671" s="33"/>
    </row>
    <row r="672" ht="14.25" customHeight="1">
      <c r="G672" s="33"/>
    </row>
    <row r="673" ht="14.25" customHeight="1">
      <c r="G673" s="33"/>
    </row>
    <row r="674" ht="14.25" customHeight="1">
      <c r="G674" s="33"/>
    </row>
    <row r="675" ht="14.25" customHeight="1">
      <c r="G675" s="33"/>
    </row>
    <row r="676" ht="14.25" customHeight="1">
      <c r="G676" s="33"/>
    </row>
    <row r="677" ht="14.25" customHeight="1">
      <c r="G677" s="33"/>
    </row>
    <row r="678" ht="14.25" customHeight="1">
      <c r="G678" s="33"/>
    </row>
    <row r="679" ht="14.25" customHeight="1">
      <c r="G679" s="33"/>
    </row>
    <row r="680" ht="14.25" customHeight="1">
      <c r="G680" s="33"/>
    </row>
    <row r="681" ht="14.25" customHeight="1">
      <c r="G681" s="33"/>
    </row>
    <row r="682" ht="14.25" customHeight="1">
      <c r="G682" s="33"/>
    </row>
    <row r="683" ht="14.25" customHeight="1">
      <c r="G683" s="33"/>
    </row>
    <row r="684" ht="14.25" customHeight="1">
      <c r="G684" s="33"/>
    </row>
    <row r="685" ht="14.25" customHeight="1">
      <c r="G685" s="33"/>
    </row>
    <row r="686" ht="14.25" customHeight="1">
      <c r="G686" s="33"/>
    </row>
    <row r="687" ht="14.25" customHeight="1">
      <c r="G687" s="33"/>
    </row>
    <row r="688" ht="14.25" customHeight="1">
      <c r="G688" s="33"/>
    </row>
    <row r="689" ht="14.25" customHeight="1">
      <c r="G689" s="33"/>
    </row>
    <row r="690" ht="14.25" customHeight="1">
      <c r="G690" s="33"/>
    </row>
    <row r="691" ht="14.25" customHeight="1">
      <c r="G691" s="33"/>
    </row>
    <row r="692" ht="14.25" customHeight="1">
      <c r="G692" s="33"/>
    </row>
    <row r="693" ht="14.25" customHeight="1">
      <c r="G693" s="33"/>
    </row>
    <row r="694" ht="14.25" customHeight="1">
      <c r="G694" s="33"/>
    </row>
    <row r="695" ht="14.25" customHeight="1">
      <c r="G695" s="33"/>
    </row>
    <row r="696" ht="14.25" customHeight="1">
      <c r="G696" s="33"/>
    </row>
    <row r="697" ht="14.25" customHeight="1">
      <c r="G697" s="33"/>
    </row>
    <row r="698" ht="14.25" customHeight="1">
      <c r="G698" s="33"/>
    </row>
    <row r="699" ht="14.25" customHeight="1">
      <c r="G699" s="33"/>
    </row>
    <row r="700" ht="14.25" customHeight="1">
      <c r="G700" s="33"/>
    </row>
    <row r="701" ht="14.25" customHeight="1">
      <c r="G701" s="33"/>
    </row>
    <row r="702" ht="14.25" customHeight="1">
      <c r="G702" s="33"/>
    </row>
    <row r="703" ht="14.25" customHeight="1">
      <c r="G703" s="33"/>
    </row>
    <row r="704" ht="14.25" customHeight="1">
      <c r="G704" s="33"/>
    </row>
    <row r="705" ht="14.25" customHeight="1">
      <c r="G705" s="33"/>
    </row>
    <row r="706" ht="14.25" customHeight="1">
      <c r="G706" s="33"/>
    </row>
    <row r="707" ht="14.25" customHeight="1">
      <c r="G707" s="33"/>
    </row>
    <row r="708" ht="14.25" customHeight="1">
      <c r="G708" s="33"/>
    </row>
    <row r="709" ht="14.25" customHeight="1">
      <c r="G709" s="33"/>
    </row>
    <row r="710" ht="14.25" customHeight="1">
      <c r="G710" s="33"/>
    </row>
    <row r="711" ht="14.25" customHeight="1">
      <c r="G711" s="33"/>
    </row>
    <row r="712" ht="14.25" customHeight="1">
      <c r="G712" s="33"/>
    </row>
    <row r="713" ht="14.25" customHeight="1">
      <c r="G713" s="33"/>
    </row>
    <row r="714" ht="14.25" customHeight="1">
      <c r="G714" s="33"/>
    </row>
    <row r="715" ht="14.25" customHeight="1">
      <c r="G715" s="33"/>
    </row>
    <row r="716" ht="14.25" customHeight="1">
      <c r="G716" s="33"/>
    </row>
    <row r="717" ht="14.25" customHeight="1">
      <c r="G717" s="33"/>
    </row>
    <row r="718" ht="14.25" customHeight="1">
      <c r="G718" s="33"/>
    </row>
    <row r="719" ht="14.25" customHeight="1">
      <c r="G719" s="33"/>
    </row>
    <row r="720" ht="14.25" customHeight="1">
      <c r="G720" s="33"/>
    </row>
    <row r="721" ht="14.25" customHeight="1">
      <c r="G721" s="33"/>
    </row>
    <row r="722" ht="14.25" customHeight="1">
      <c r="G722" s="33"/>
    </row>
    <row r="723" ht="14.25" customHeight="1">
      <c r="G723" s="33"/>
    </row>
    <row r="724" ht="14.25" customHeight="1">
      <c r="G724" s="33"/>
    </row>
    <row r="725" ht="14.25" customHeight="1">
      <c r="G725" s="33"/>
    </row>
    <row r="726" ht="14.25" customHeight="1">
      <c r="G726" s="33"/>
    </row>
    <row r="727" ht="14.25" customHeight="1">
      <c r="G727" s="33"/>
    </row>
    <row r="728" ht="14.25" customHeight="1">
      <c r="G728" s="33"/>
    </row>
    <row r="729" ht="14.25" customHeight="1">
      <c r="G729" s="33"/>
    </row>
    <row r="730" ht="14.25" customHeight="1">
      <c r="G730" s="33"/>
    </row>
    <row r="731" ht="14.25" customHeight="1">
      <c r="G731" s="33"/>
    </row>
    <row r="732" ht="14.25" customHeight="1">
      <c r="G732" s="33"/>
    </row>
    <row r="733" ht="14.25" customHeight="1">
      <c r="G733" s="33"/>
    </row>
    <row r="734" ht="14.25" customHeight="1">
      <c r="G734" s="33"/>
    </row>
    <row r="735" ht="14.25" customHeight="1">
      <c r="G735" s="33"/>
    </row>
    <row r="736" ht="14.25" customHeight="1">
      <c r="G736" s="33"/>
    </row>
    <row r="737" ht="14.25" customHeight="1">
      <c r="G737" s="33"/>
    </row>
    <row r="738" ht="14.25" customHeight="1">
      <c r="G738" s="33"/>
    </row>
    <row r="739" ht="14.25" customHeight="1">
      <c r="G739" s="33"/>
    </row>
    <row r="740" ht="14.25" customHeight="1">
      <c r="G740" s="33"/>
    </row>
    <row r="741" ht="14.25" customHeight="1">
      <c r="G741" s="33"/>
    </row>
    <row r="742" ht="14.25" customHeight="1">
      <c r="G742" s="33"/>
    </row>
    <row r="743" ht="14.25" customHeight="1">
      <c r="G743" s="33"/>
    </row>
    <row r="744" ht="14.25" customHeight="1">
      <c r="G744" s="33"/>
    </row>
    <row r="745" ht="14.25" customHeight="1">
      <c r="G745" s="33"/>
    </row>
    <row r="746" ht="14.25" customHeight="1">
      <c r="G746" s="33"/>
    </row>
    <row r="747" ht="14.25" customHeight="1">
      <c r="G747" s="33"/>
    </row>
    <row r="748" ht="14.25" customHeight="1">
      <c r="G748" s="33"/>
    </row>
    <row r="749" ht="14.25" customHeight="1">
      <c r="G749" s="33"/>
    </row>
    <row r="750" ht="14.25" customHeight="1">
      <c r="G750" s="33"/>
    </row>
    <row r="751" ht="14.25" customHeight="1">
      <c r="G751" s="33"/>
    </row>
    <row r="752" ht="14.25" customHeight="1">
      <c r="G752" s="33"/>
    </row>
    <row r="753" ht="14.25" customHeight="1">
      <c r="G753" s="33"/>
    </row>
    <row r="754" ht="14.25" customHeight="1">
      <c r="G754" s="33"/>
    </row>
    <row r="755" ht="14.25" customHeight="1">
      <c r="G755" s="33"/>
    </row>
    <row r="756" ht="14.25" customHeight="1">
      <c r="G756" s="33"/>
    </row>
    <row r="757" ht="14.25" customHeight="1">
      <c r="G757" s="33"/>
    </row>
    <row r="758" ht="14.25" customHeight="1">
      <c r="G758" s="33"/>
    </row>
    <row r="759" ht="14.25" customHeight="1">
      <c r="G759" s="33"/>
    </row>
    <row r="760" ht="14.25" customHeight="1">
      <c r="G760" s="33"/>
    </row>
    <row r="761" ht="14.25" customHeight="1">
      <c r="G761" s="33"/>
    </row>
    <row r="762" ht="14.25" customHeight="1">
      <c r="G762" s="33"/>
    </row>
    <row r="763" ht="14.25" customHeight="1">
      <c r="G763" s="33"/>
    </row>
    <row r="764" ht="14.25" customHeight="1">
      <c r="G764" s="33"/>
    </row>
    <row r="765" ht="14.25" customHeight="1">
      <c r="G765" s="33"/>
    </row>
    <row r="766" ht="14.25" customHeight="1">
      <c r="G766" s="33"/>
    </row>
    <row r="767" ht="14.25" customHeight="1">
      <c r="G767" s="33"/>
    </row>
    <row r="768" ht="14.25" customHeight="1">
      <c r="G768" s="33"/>
    </row>
    <row r="769" ht="14.25" customHeight="1">
      <c r="G769" s="33"/>
    </row>
    <row r="770" ht="14.25" customHeight="1">
      <c r="G770" s="33"/>
    </row>
    <row r="771" ht="14.25" customHeight="1">
      <c r="G771" s="33"/>
    </row>
    <row r="772" ht="14.25" customHeight="1">
      <c r="G772" s="33"/>
    </row>
    <row r="773" ht="14.25" customHeight="1">
      <c r="G773" s="33"/>
    </row>
    <row r="774" ht="14.25" customHeight="1">
      <c r="G774" s="33"/>
    </row>
    <row r="775" ht="14.25" customHeight="1">
      <c r="G775" s="33"/>
    </row>
    <row r="776" ht="14.25" customHeight="1">
      <c r="G776" s="33"/>
    </row>
    <row r="777" ht="14.25" customHeight="1">
      <c r="G777" s="33"/>
    </row>
    <row r="778" ht="14.25" customHeight="1">
      <c r="G778" s="33"/>
    </row>
    <row r="779" ht="14.25" customHeight="1">
      <c r="G779" s="33"/>
    </row>
    <row r="780" ht="14.25" customHeight="1">
      <c r="G780" s="33"/>
    </row>
    <row r="781" ht="14.25" customHeight="1">
      <c r="G781" s="33"/>
    </row>
    <row r="782" ht="14.25" customHeight="1">
      <c r="G782" s="33"/>
    </row>
    <row r="783" ht="14.25" customHeight="1">
      <c r="G783" s="33"/>
    </row>
    <row r="784" ht="14.25" customHeight="1">
      <c r="G784" s="33"/>
    </row>
    <row r="785" ht="14.25" customHeight="1">
      <c r="G785" s="33"/>
    </row>
    <row r="786" ht="14.25" customHeight="1">
      <c r="G786" s="33"/>
    </row>
    <row r="787" ht="14.25" customHeight="1">
      <c r="G787" s="33"/>
    </row>
    <row r="788" ht="14.25" customHeight="1">
      <c r="G788" s="33"/>
    </row>
    <row r="789" ht="14.25" customHeight="1">
      <c r="G789" s="33"/>
    </row>
    <row r="790" ht="14.25" customHeight="1">
      <c r="G790" s="33"/>
    </row>
    <row r="791" ht="14.25" customHeight="1">
      <c r="G791" s="33"/>
    </row>
    <row r="792" ht="14.25" customHeight="1">
      <c r="G792" s="33"/>
    </row>
    <row r="793" ht="14.25" customHeight="1">
      <c r="G793" s="33"/>
    </row>
    <row r="794" ht="14.25" customHeight="1">
      <c r="G794" s="33"/>
    </row>
    <row r="795" ht="14.25" customHeight="1">
      <c r="G795" s="33"/>
    </row>
    <row r="796" ht="14.25" customHeight="1">
      <c r="G796" s="33"/>
    </row>
    <row r="797" ht="14.25" customHeight="1">
      <c r="G797" s="33"/>
    </row>
    <row r="798" ht="14.25" customHeight="1">
      <c r="G798" s="33"/>
    </row>
    <row r="799" ht="14.25" customHeight="1">
      <c r="G799" s="33"/>
    </row>
    <row r="800" ht="14.25" customHeight="1">
      <c r="G800" s="33"/>
    </row>
    <row r="801" ht="14.25" customHeight="1">
      <c r="G801" s="33"/>
    </row>
    <row r="802" ht="14.25" customHeight="1">
      <c r="G802" s="33"/>
    </row>
    <row r="803" ht="14.25" customHeight="1">
      <c r="G803" s="33"/>
    </row>
    <row r="804" ht="14.25" customHeight="1">
      <c r="G804" s="33"/>
    </row>
    <row r="805" ht="14.25" customHeight="1">
      <c r="G805" s="33"/>
    </row>
    <row r="806" ht="14.25" customHeight="1">
      <c r="G806" s="33"/>
    </row>
    <row r="807" ht="14.25" customHeight="1">
      <c r="G807" s="33"/>
    </row>
    <row r="808" ht="14.25" customHeight="1">
      <c r="G808" s="33"/>
    </row>
    <row r="809" ht="14.25" customHeight="1">
      <c r="G809" s="33"/>
    </row>
    <row r="810" ht="14.25" customHeight="1">
      <c r="G810" s="33"/>
    </row>
    <row r="811" ht="14.25" customHeight="1">
      <c r="G811" s="33"/>
    </row>
    <row r="812" ht="14.25" customHeight="1">
      <c r="G812" s="33"/>
    </row>
    <row r="813" ht="14.25" customHeight="1">
      <c r="G813" s="33"/>
    </row>
    <row r="814" ht="14.25" customHeight="1">
      <c r="G814" s="33"/>
    </row>
    <row r="815" ht="14.25" customHeight="1">
      <c r="G815" s="33"/>
    </row>
    <row r="816" ht="14.25" customHeight="1">
      <c r="G816" s="33"/>
    </row>
    <row r="817" ht="14.25" customHeight="1">
      <c r="G817" s="33"/>
    </row>
    <row r="818" ht="14.25" customHeight="1">
      <c r="G818" s="33"/>
    </row>
    <row r="819" ht="14.25" customHeight="1">
      <c r="G819" s="33"/>
    </row>
    <row r="820" ht="14.25" customHeight="1">
      <c r="G820" s="33"/>
    </row>
    <row r="821" ht="14.25" customHeight="1">
      <c r="G821" s="33"/>
    </row>
    <row r="822" ht="14.25" customHeight="1">
      <c r="G822" s="33"/>
    </row>
    <row r="823" ht="14.25" customHeight="1">
      <c r="G823" s="33"/>
    </row>
    <row r="824" ht="14.25" customHeight="1">
      <c r="G824" s="33"/>
    </row>
    <row r="825" ht="14.25" customHeight="1">
      <c r="G825" s="33"/>
    </row>
    <row r="826" ht="14.25" customHeight="1">
      <c r="G826" s="33"/>
    </row>
    <row r="827" ht="14.25" customHeight="1">
      <c r="G827" s="33"/>
    </row>
    <row r="828" ht="14.25" customHeight="1">
      <c r="G828" s="33"/>
    </row>
    <row r="829" ht="14.25" customHeight="1">
      <c r="G829" s="33"/>
    </row>
    <row r="830" ht="14.25" customHeight="1">
      <c r="G830" s="33"/>
    </row>
    <row r="831" ht="14.25" customHeight="1">
      <c r="G831" s="33"/>
    </row>
    <row r="832" ht="14.25" customHeight="1">
      <c r="G832" s="33"/>
    </row>
    <row r="833" ht="14.25" customHeight="1">
      <c r="G833" s="33"/>
    </row>
    <row r="834" ht="14.25" customHeight="1">
      <c r="G834" s="33"/>
    </row>
    <row r="835" ht="14.25" customHeight="1">
      <c r="G835" s="33"/>
    </row>
    <row r="836" ht="14.25" customHeight="1">
      <c r="G836" s="33"/>
    </row>
    <row r="837" ht="14.25" customHeight="1">
      <c r="G837" s="33"/>
    </row>
    <row r="838" ht="14.25" customHeight="1">
      <c r="G838" s="33"/>
    </row>
    <row r="839" ht="14.25" customHeight="1">
      <c r="G839" s="33"/>
    </row>
    <row r="840" ht="14.25" customHeight="1">
      <c r="G840" s="33"/>
    </row>
    <row r="841" ht="14.25" customHeight="1">
      <c r="G841" s="33"/>
    </row>
    <row r="842" ht="14.25" customHeight="1">
      <c r="G842" s="33"/>
    </row>
    <row r="843" ht="14.25" customHeight="1">
      <c r="G843" s="33"/>
    </row>
    <row r="844" ht="14.25" customHeight="1">
      <c r="G844" s="33"/>
    </row>
    <row r="845" ht="14.25" customHeight="1">
      <c r="G845" s="33"/>
    </row>
    <row r="846" ht="14.25" customHeight="1">
      <c r="G846" s="33"/>
    </row>
    <row r="847" ht="14.25" customHeight="1">
      <c r="G847" s="33"/>
    </row>
    <row r="848" ht="14.25" customHeight="1">
      <c r="G848" s="33"/>
    </row>
    <row r="849" ht="14.25" customHeight="1">
      <c r="G849" s="33"/>
    </row>
    <row r="850" ht="14.25" customHeight="1">
      <c r="G850" s="33"/>
    </row>
    <row r="851" ht="14.25" customHeight="1">
      <c r="G851" s="33"/>
    </row>
    <row r="852" ht="14.25" customHeight="1">
      <c r="G852" s="33"/>
    </row>
    <row r="853" ht="14.25" customHeight="1">
      <c r="G853" s="33"/>
    </row>
    <row r="854" ht="14.25" customHeight="1">
      <c r="G854" s="33"/>
    </row>
    <row r="855" ht="14.25" customHeight="1">
      <c r="G855" s="33"/>
    </row>
    <row r="856" ht="14.25" customHeight="1">
      <c r="G856" s="33"/>
    </row>
    <row r="857" ht="14.25" customHeight="1">
      <c r="G857" s="33"/>
    </row>
    <row r="858" ht="14.25" customHeight="1">
      <c r="G858" s="33"/>
    </row>
    <row r="859" ht="14.25" customHeight="1">
      <c r="G859" s="33"/>
    </row>
    <row r="860" ht="14.25" customHeight="1">
      <c r="G860" s="33"/>
    </row>
    <row r="861" ht="14.25" customHeight="1">
      <c r="G861" s="33"/>
    </row>
    <row r="862" ht="14.25" customHeight="1">
      <c r="G862" s="33"/>
    </row>
    <row r="863" ht="14.25" customHeight="1">
      <c r="G863" s="33"/>
    </row>
    <row r="864" ht="14.25" customHeight="1">
      <c r="G864" s="33"/>
    </row>
    <row r="865" ht="14.25" customHeight="1">
      <c r="G865" s="33"/>
    </row>
    <row r="866" ht="14.25" customHeight="1">
      <c r="G866" s="33"/>
    </row>
    <row r="867" ht="14.25" customHeight="1">
      <c r="G867" s="33"/>
    </row>
    <row r="868" ht="14.25" customHeight="1">
      <c r="G868" s="33"/>
    </row>
    <row r="869" ht="14.25" customHeight="1">
      <c r="G869" s="33"/>
    </row>
    <row r="870" ht="14.25" customHeight="1">
      <c r="G870" s="33"/>
    </row>
    <row r="871" ht="14.25" customHeight="1">
      <c r="G871" s="33"/>
    </row>
    <row r="872" ht="14.25" customHeight="1">
      <c r="G872" s="33"/>
    </row>
    <row r="873" ht="14.25" customHeight="1">
      <c r="G873" s="33"/>
    </row>
    <row r="874" ht="14.25" customHeight="1">
      <c r="G874" s="33"/>
    </row>
    <row r="875" ht="14.25" customHeight="1">
      <c r="G875" s="33"/>
    </row>
    <row r="876" ht="14.25" customHeight="1">
      <c r="G876" s="33"/>
    </row>
    <row r="877" ht="14.25" customHeight="1">
      <c r="G877" s="33"/>
    </row>
    <row r="878" ht="14.25" customHeight="1">
      <c r="G878" s="33"/>
    </row>
    <row r="879" ht="14.25" customHeight="1">
      <c r="G879" s="33"/>
    </row>
    <row r="880" ht="14.25" customHeight="1">
      <c r="G880" s="33"/>
    </row>
    <row r="881" ht="14.25" customHeight="1">
      <c r="G881" s="33"/>
    </row>
    <row r="882" ht="14.25" customHeight="1">
      <c r="G882" s="33"/>
    </row>
    <row r="883" ht="14.25" customHeight="1">
      <c r="G883" s="33"/>
    </row>
    <row r="884" ht="14.25" customHeight="1">
      <c r="G884" s="33"/>
    </row>
    <row r="885" ht="14.25" customHeight="1">
      <c r="G885" s="33"/>
    </row>
    <row r="886" ht="14.25" customHeight="1">
      <c r="G886" s="33"/>
    </row>
    <row r="887" ht="14.25" customHeight="1">
      <c r="G887" s="33"/>
    </row>
    <row r="888" ht="14.25" customHeight="1">
      <c r="G888" s="33"/>
    </row>
    <row r="889" ht="14.25" customHeight="1">
      <c r="G889" s="33"/>
    </row>
    <row r="890" ht="14.25" customHeight="1">
      <c r="G890" s="33"/>
    </row>
    <row r="891" ht="14.25" customHeight="1">
      <c r="G891" s="33"/>
    </row>
    <row r="892" ht="14.25" customHeight="1">
      <c r="G892" s="33"/>
    </row>
    <row r="893" ht="14.25" customHeight="1">
      <c r="G893" s="33"/>
    </row>
    <row r="894" ht="14.25" customHeight="1">
      <c r="G894" s="33"/>
    </row>
    <row r="895" ht="14.25" customHeight="1">
      <c r="G895" s="33"/>
    </row>
    <row r="896" ht="14.25" customHeight="1">
      <c r="G896" s="33"/>
    </row>
    <row r="897" ht="14.25" customHeight="1">
      <c r="G897" s="33"/>
    </row>
    <row r="898" ht="14.25" customHeight="1">
      <c r="G898" s="33"/>
    </row>
    <row r="899" ht="14.25" customHeight="1">
      <c r="G899" s="33"/>
    </row>
    <row r="900" ht="14.25" customHeight="1">
      <c r="G900" s="33"/>
    </row>
    <row r="901" ht="14.25" customHeight="1">
      <c r="G901" s="33"/>
    </row>
    <row r="902" ht="14.25" customHeight="1">
      <c r="G902" s="33"/>
    </row>
    <row r="903" ht="14.25" customHeight="1">
      <c r="G903" s="33"/>
    </row>
    <row r="904" ht="14.25" customHeight="1">
      <c r="G904" s="33"/>
    </row>
    <row r="905" ht="14.25" customHeight="1">
      <c r="G905" s="33"/>
    </row>
    <row r="906" ht="14.25" customHeight="1">
      <c r="G906" s="33"/>
    </row>
    <row r="907" ht="14.25" customHeight="1">
      <c r="G907" s="33"/>
    </row>
    <row r="908" ht="14.25" customHeight="1">
      <c r="G908" s="33"/>
    </row>
    <row r="909" ht="14.25" customHeight="1">
      <c r="G909" s="33"/>
    </row>
    <row r="910" ht="14.25" customHeight="1">
      <c r="G910" s="33"/>
    </row>
    <row r="911" ht="14.25" customHeight="1">
      <c r="G911" s="33"/>
    </row>
    <row r="912" ht="14.25" customHeight="1">
      <c r="G912" s="33"/>
    </row>
    <row r="913" ht="14.25" customHeight="1">
      <c r="G913" s="33"/>
    </row>
    <row r="914" ht="14.25" customHeight="1">
      <c r="G914" s="33"/>
    </row>
    <row r="915" ht="14.25" customHeight="1">
      <c r="G915" s="33"/>
    </row>
    <row r="916" ht="14.25" customHeight="1">
      <c r="G916" s="33"/>
    </row>
    <row r="917" ht="14.25" customHeight="1">
      <c r="G917" s="33"/>
    </row>
    <row r="918" ht="14.25" customHeight="1">
      <c r="G918" s="33"/>
    </row>
    <row r="919" ht="14.25" customHeight="1">
      <c r="G919" s="33"/>
    </row>
    <row r="920" ht="14.25" customHeight="1">
      <c r="G920" s="33"/>
    </row>
    <row r="921" ht="14.25" customHeight="1">
      <c r="G921" s="33"/>
    </row>
    <row r="922" ht="14.25" customHeight="1">
      <c r="G922" s="33"/>
    </row>
    <row r="923" ht="14.25" customHeight="1">
      <c r="G923" s="33"/>
    </row>
    <row r="924" ht="14.25" customHeight="1">
      <c r="G924" s="33"/>
    </row>
    <row r="925" ht="14.25" customHeight="1">
      <c r="G925" s="33"/>
    </row>
    <row r="926" ht="14.25" customHeight="1">
      <c r="G926" s="33"/>
    </row>
    <row r="927" ht="14.25" customHeight="1">
      <c r="G927" s="33"/>
    </row>
    <row r="928" ht="14.25" customHeight="1">
      <c r="G928" s="33"/>
    </row>
    <row r="929" ht="14.25" customHeight="1">
      <c r="G929" s="33"/>
    </row>
    <row r="930" ht="14.25" customHeight="1">
      <c r="G930" s="33"/>
    </row>
    <row r="931" ht="14.25" customHeight="1">
      <c r="G931" s="33"/>
    </row>
    <row r="932" ht="14.25" customHeight="1">
      <c r="G932" s="33"/>
    </row>
    <row r="933" ht="14.25" customHeight="1">
      <c r="G933" s="33"/>
    </row>
    <row r="934" ht="14.25" customHeight="1">
      <c r="G934" s="33"/>
    </row>
    <row r="935" ht="14.25" customHeight="1">
      <c r="G935" s="33"/>
    </row>
    <row r="936" ht="14.25" customHeight="1">
      <c r="G936" s="33"/>
    </row>
    <row r="937" ht="14.25" customHeight="1">
      <c r="G937" s="33"/>
    </row>
    <row r="938" ht="14.25" customHeight="1">
      <c r="G938" s="33"/>
    </row>
    <row r="939" ht="14.25" customHeight="1">
      <c r="G939" s="33"/>
    </row>
    <row r="940" ht="14.25" customHeight="1">
      <c r="G940" s="33"/>
    </row>
    <row r="941" ht="14.25" customHeight="1">
      <c r="G941" s="33"/>
    </row>
    <row r="942" ht="14.25" customHeight="1">
      <c r="G942" s="33"/>
    </row>
    <row r="943" ht="14.25" customHeight="1">
      <c r="G943" s="33"/>
    </row>
    <row r="944" ht="14.25" customHeight="1">
      <c r="G944" s="33"/>
    </row>
    <row r="945" ht="14.25" customHeight="1">
      <c r="G945" s="33"/>
    </row>
    <row r="946" ht="14.25" customHeight="1">
      <c r="G946" s="33"/>
    </row>
    <row r="947" ht="14.25" customHeight="1">
      <c r="G947" s="33"/>
    </row>
    <row r="948" ht="14.25" customHeight="1">
      <c r="G948" s="33"/>
    </row>
    <row r="949" ht="14.25" customHeight="1">
      <c r="G949" s="33"/>
    </row>
    <row r="950" ht="14.25" customHeight="1">
      <c r="G950" s="33"/>
    </row>
    <row r="951" ht="14.25" customHeight="1">
      <c r="G951" s="33"/>
    </row>
    <row r="952" ht="14.25" customHeight="1">
      <c r="G952" s="33"/>
    </row>
    <row r="953" ht="14.25" customHeight="1">
      <c r="G953" s="33"/>
    </row>
    <row r="954" ht="14.25" customHeight="1">
      <c r="G954" s="33"/>
    </row>
    <row r="955" ht="14.25" customHeight="1">
      <c r="G955" s="33"/>
    </row>
    <row r="956" ht="14.25" customHeight="1">
      <c r="G956" s="33"/>
    </row>
    <row r="957" ht="14.25" customHeight="1">
      <c r="G957" s="33"/>
    </row>
    <row r="958" ht="14.25" customHeight="1">
      <c r="G958" s="33"/>
    </row>
    <row r="959" ht="14.25" customHeight="1">
      <c r="G959" s="33"/>
    </row>
    <row r="960" ht="14.25" customHeight="1">
      <c r="G960" s="33"/>
    </row>
    <row r="961" ht="14.25" customHeight="1">
      <c r="G961" s="33"/>
    </row>
    <row r="962" ht="14.25" customHeight="1">
      <c r="G962" s="33"/>
    </row>
    <row r="963" ht="14.25" customHeight="1">
      <c r="G963" s="33"/>
    </row>
    <row r="964" ht="14.25" customHeight="1">
      <c r="G964" s="33"/>
    </row>
    <row r="965" ht="14.25" customHeight="1">
      <c r="G965" s="33"/>
    </row>
    <row r="966" ht="14.25" customHeight="1">
      <c r="G966" s="33"/>
    </row>
    <row r="967" ht="14.25" customHeight="1">
      <c r="G967" s="33"/>
    </row>
    <row r="968" ht="14.25" customHeight="1">
      <c r="G968" s="33"/>
    </row>
    <row r="969" ht="14.25" customHeight="1">
      <c r="G969" s="33"/>
    </row>
    <row r="970" ht="14.25" customHeight="1">
      <c r="G970" s="33"/>
    </row>
    <row r="971" ht="14.25" customHeight="1">
      <c r="G971" s="33"/>
    </row>
    <row r="972" ht="14.25" customHeight="1">
      <c r="G972" s="33"/>
    </row>
    <row r="973" ht="14.25" customHeight="1">
      <c r="G973" s="33"/>
    </row>
    <row r="974" ht="14.25" customHeight="1">
      <c r="G974" s="33"/>
    </row>
    <row r="975" ht="14.25" customHeight="1">
      <c r="G975" s="33"/>
    </row>
    <row r="976" ht="14.25" customHeight="1">
      <c r="G976" s="33"/>
    </row>
    <row r="977" ht="14.25" customHeight="1">
      <c r="G977" s="33"/>
    </row>
    <row r="978" ht="14.25" customHeight="1">
      <c r="G978" s="33"/>
    </row>
    <row r="979" ht="14.25" customHeight="1">
      <c r="G979" s="33"/>
    </row>
    <row r="980" ht="14.25" customHeight="1">
      <c r="G980" s="33"/>
    </row>
    <row r="981" ht="14.25" customHeight="1">
      <c r="G981" s="33"/>
    </row>
    <row r="982" ht="14.25" customHeight="1">
      <c r="G982" s="33"/>
    </row>
    <row r="983" ht="14.25" customHeight="1">
      <c r="G983" s="33"/>
    </row>
    <row r="984" ht="14.25" customHeight="1">
      <c r="G984" s="33"/>
    </row>
    <row r="985" ht="14.25" customHeight="1">
      <c r="G985" s="33"/>
    </row>
    <row r="986" ht="14.25" customHeight="1">
      <c r="G986" s="33"/>
    </row>
    <row r="987" ht="14.25" customHeight="1">
      <c r="G987" s="33"/>
    </row>
    <row r="988" ht="14.25" customHeight="1">
      <c r="G988" s="33"/>
    </row>
    <row r="989" ht="14.25" customHeight="1">
      <c r="G989" s="33"/>
    </row>
    <row r="990" ht="14.25" customHeight="1">
      <c r="G990" s="33"/>
    </row>
    <row r="991" ht="14.25" customHeight="1">
      <c r="G991" s="33"/>
    </row>
    <row r="992" ht="14.25" customHeight="1">
      <c r="G992" s="33"/>
    </row>
    <row r="993" ht="14.25" customHeight="1">
      <c r="G993" s="33"/>
    </row>
    <row r="994" ht="14.25" customHeight="1">
      <c r="G994" s="33"/>
    </row>
    <row r="995" ht="14.25" customHeight="1">
      <c r="G995" s="33"/>
    </row>
    <row r="996" ht="14.25" customHeight="1">
      <c r="G996" s="33"/>
    </row>
    <row r="997" ht="14.25" customHeight="1">
      <c r="G997" s="33"/>
    </row>
    <row r="998" ht="14.25" customHeight="1">
      <c r="G998" s="33"/>
    </row>
    <row r="999" ht="14.25" customHeight="1">
      <c r="G999" s="33"/>
    </row>
    <row r="1000" ht="14.25" customHeight="1">
      <c r="G1000" s="33"/>
    </row>
  </sheetData>
  <mergeCells count="53"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BG1:BH1"/>
    <mergeCell ref="BI1:BJ1"/>
    <mergeCell ref="BK1:BL1"/>
    <mergeCell ref="BM1:BN1"/>
    <mergeCell ref="BO1:BP1"/>
    <mergeCell ref="BQ1:BR1"/>
    <mergeCell ref="AS1:AT1"/>
    <mergeCell ref="AU1:AV1"/>
    <mergeCell ref="AW1:AX1"/>
    <mergeCell ref="AY1:AZ1"/>
    <mergeCell ref="BA1:BB1"/>
    <mergeCell ref="BC1:BD1"/>
    <mergeCell ref="BE1:BF1"/>
    <mergeCell ref="C1:D1"/>
    <mergeCell ref="E1:F1"/>
    <mergeCell ref="G1:H1"/>
    <mergeCell ref="I1:J1"/>
    <mergeCell ref="K1:L1"/>
    <mergeCell ref="M1:N1"/>
    <mergeCell ref="O1:P1"/>
    <mergeCell ref="A3:A8"/>
    <mergeCell ref="A9:A14"/>
    <mergeCell ref="A15:A20"/>
    <mergeCell ref="A21:A26"/>
    <mergeCell ref="A27:A32"/>
    <mergeCell ref="A33:A38"/>
    <mergeCell ref="A39:A44"/>
    <mergeCell ref="A87:A92"/>
    <mergeCell ref="A93:A98"/>
    <mergeCell ref="A99:A104"/>
    <mergeCell ref="A105:A110"/>
    <mergeCell ref="A111:A116"/>
    <mergeCell ref="A45:A50"/>
    <mergeCell ref="A51:A56"/>
    <mergeCell ref="A57:A62"/>
    <mergeCell ref="A63:A68"/>
    <mergeCell ref="A69:A74"/>
    <mergeCell ref="A75:A80"/>
    <mergeCell ref="A81:A86"/>
  </mergeCells>
  <conditionalFormatting sqref="C88:C111">
    <cfRule type="containsText" dxfId="0" priority="1" operator="containsText" text="25">
      <formula>NOT(ISERROR(SEARCH(("25"),(C88))))</formula>
    </cfRule>
  </conditionalFormatting>
  <conditionalFormatting sqref="C88:C111">
    <cfRule type="containsText" dxfId="1" priority="2" operator="containsText" text="50">
      <formula>NOT(ISERROR(SEARCH(("50"),(C88))))</formula>
    </cfRule>
  </conditionalFormatting>
  <conditionalFormatting sqref="C88:C111">
    <cfRule type="containsText" dxfId="2" priority="3" operator="containsText" text="100">
      <formula>NOT(ISERROR(SEARCH(("100"),(C88))))</formula>
    </cfRule>
  </conditionalFormatting>
  <conditionalFormatting sqref="C88:C111">
    <cfRule type="containsText" dxfId="2" priority="4" operator="containsText" text="75">
      <formula>NOT(ISERROR(SEARCH(("75"),(C88))))</formula>
    </cfRule>
  </conditionalFormatting>
  <conditionalFormatting sqref="C87:H87">
    <cfRule type="containsText" dxfId="0" priority="5" operator="containsText" text="25">
      <formula>NOT(ISERROR(SEARCH(("25"),(C87))))</formula>
    </cfRule>
  </conditionalFormatting>
  <conditionalFormatting sqref="C87:H87">
    <cfRule type="containsText" dxfId="1" priority="6" operator="containsText" text="50">
      <formula>NOT(ISERROR(SEARCH(("50"),(C87))))</formula>
    </cfRule>
  </conditionalFormatting>
  <conditionalFormatting sqref="C87:H87">
    <cfRule type="containsText" dxfId="2" priority="7" operator="containsText" text="100">
      <formula>NOT(ISERROR(SEARCH(("100"),(C87))))</formula>
    </cfRule>
  </conditionalFormatting>
  <conditionalFormatting sqref="C87:H87">
    <cfRule type="containsText" dxfId="2" priority="8" operator="containsText" text="75">
      <formula>NOT(ISERROR(SEARCH(("75"),(C87))))</formula>
    </cfRule>
  </conditionalFormatting>
  <conditionalFormatting sqref="C57:J80">
    <cfRule type="containsText" dxfId="0" priority="9" operator="containsText" text="25">
      <formula>NOT(ISERROR(SEARCH(("25"),(C57))))</formula>
    </cfRule>
  </conditionalFormatting>
  <conditionalFormatting sqref="C57:J80">
    <cfRule type="containsText" dxfId="1" priority="10" operator="containsText" text="50">
      <formula>NOT(ISERROR(SEARCH(("50"),(C57))))</formula>
    </cfRule>
  </conditionalFormatting>
  <conditionalFormatting sqref="C57:J80">
    <cfRule type="containsText" dxfId="2" priority="11" operator="containsText" text="100">
      <formula>NOT(ISERROR(SEARCH(("100"),(C57))))</formula>
    </cfRule>
  </conditionalFormatting>
  <conditionalFormatting sqref="C57:J80">
    <cfRule type="containsText" dxfId="2" priority="12" operator="containsText" text="75">
      <formula>NOT(ISERROR(SEARCH(("75"),(C57))))</formula>
    </cfRule>
  </conditionalFormatting>
  <conditionalFormatting sqref="B112:BI116 C3:BJ56 C83:C84 C117:BJ118 L87:BJ87 BL117:BR118">
    <cfRule type="containsText" dxfId="0" priority="13" operator="containsText" text="25">
      <formula>NOT(ISERROR(SEARCH(("25"),(B112))))</formula>
    </cfRule>
  </conditionalFormatting>
  <conditionalFormatting sqref="B112:BI116 C3:BJ56 C83:C84 C117:BJ118 L87:BJ87 BL117:BR118">
    <cfRule type="containsText" dxfId="1" priority="14" operator="containsText" text="50">
      <formula>NOT(ISERROR(SEARCH(("50"),(B112))))</formula>
    </cfRule>
  </conditionalFormatting>
  <conditionalFormatting sqref="B112:BI116 C3:BJ56 C83:C84 C117:BJ118 L87:BJ87 BL117:BR118">
    <cfRule type="containsText" dxfId="2" priority="15" operator="containsText" text="100">
      <formula>NOT(ISERROR(SEARCH(("100"),(B112))))</formula>
    </cfRule>
  </conditionalFormatting>
  <conditionalFormatting sqref="B112:BI116 C3:BJ56 C83:C84 C117:BJ118 L87:BJ87 BL117:BR118">
    <cfRule type="containsText" dxfId="2" priority="16" operator="containsText" text="75">
      <formula>NOT(ISERROR(SEARCH(("75"),(B112))))</formula>
    </cfRule>
  </conditionalFormatting>
  <conditionalFormatting sqref="D83:H83">
    <cfRule type="containsText" dxfId="0" priority="17" operator="containsText" text="25">
      <formula>NOT(ISERROR(SEARCH(("25"),(D83))))</formula>
    </cfRule>
  </conditionalFormatting>
  <conditionalFormatting sqref="D83:H83">
    <cfRule type="containsText" dxfId="1" priority="18" operator="containsText" text="50">
      <formula>NOT(ISERROR(SEARCH(("50"),(D83))))</formula>
    </cfRule>
  </conditionalFormatting>
  <conditionalFormatting sqref="D83:H83">
    <cfRule type="containsText" dxfId="2" priority="19" operator="containsText" text="100">
      <formula>NOT(ISERROR(SEARCH(("100"),(D83))))</formula>
    </cfRule>
  </conditionalFormatting>
  <conditionalFormatting sqref="D83:H83">
    <cfRule type="containsText" dxfId="2" priority="20" operator="containsText" text="75">
      <formula>NOT(ISERROR(SEARCH(("75"),(D83))))</formula>
    </cfRule>
  </conditionalFormatting>
  <conditionalFormatting sqref="D88:H109">
    <cfRule type="containsText" dxfId="0" priority="21" operator="containsText" text="25">
      <formula>NOT(ISERROR(SEARCH(("25"),(D88))))</formula>
    </cfRule>
  </conditionalFormatting>
  <conditionalFormatting sqref="D88:H109">
    <cfRule type="containsText" dxfId="1" priority="22" operator="containsText" text="50">
      <formula>NOT(ISERROR(SEARCH(("50"),(D88))))</formula>
    </cfRule>
  </conditionalFormatting>
  <conditionalFormatting sqref="D88:H109">
    <cfRule type="containsText" dxfId="2" priority="23" operator="containsText" text="100">
      <formula>NOT(ISERROR(SEARCH(("100"),(D88))))</formula>
    </cfRule>
  </conditionalFormatting>
  <conditionalFormatting sqref="D88:H109">
    <cfRule type="containsText" dxfId="2" priority="24" operator="containsText" text="75">
      <formula>NOT(ISERROR(SEARCH(("75"),(D88))))</formula>
    </cfRule>
  </conditionalFormatting>
  <conditionalFormatting sqref="D110:BJ111 BL111:BR111">
    <cfRule type="containsText" dxfId="0" priority="25" operator="containsText" text="25">
      <formula>NOT(ISERROR(SEARCH(("25"),(D110))))</formula>
    </cfRule>
  </conditionalFormatting>
  <conditionalFormatting sqref="D110:BJ111 BL111:BR111">
    <cfRule type="containsText" dxfId="1" priority="26" operator="containsText" text="50">
      <formula>NOT(ISERROR(SEARCH(("50"),(D110))))</formula>
    </cfRule>
  </conditionalFormatting>
  <conditionalFormatting sqref="D110:BJ111 BL111:BR111">
    <cfRule type="containsText" dxfId="2" priority="27" operator="containsText" text="100">
      <formula>NOT(ISERROR(SEARCH(("100"),(D110))))</formula>
    </cfRule>
  </conditionalFormatting>
  <conditionalFormatting sqref="D110:BJ111 BL111:BR111">
    <cfRule type="containsText" dxfId="2" priority="28" operator="containsText" text="75">
      <formula>NOT(ISERROR(SEARCH(("75"),(D110))))</formula>
    </cfRule>
  </conditionalFormatting>
  <conditionalFormatting sqref="E84:G85">
    <cfRule type="containsText" dxfId="0" priority="29" operator="containsText" text="25">
      <formula>NOT(ISERROR(SEARCH(("25"),(E84))))</formula>
    </cfRule>
  </conditionalFormatting>
  <conditionalFormatting sqref="E84:G85">
    <cfRule type="containsText" dxfId="1" priority="30" operator="containsText" text="50">
      <formula>NOT(ISERROR(SEARCH(("50"),(E84))))</formula>
    </cfRule>
  </conditionalFormatting>
  <conditionalFormatting sqref="E84:G85">
    <cfRule type="containsText" dxfId="2" priority="31" operator="containsText" text="100">
      <formula>NOT(ISERROR(SEARCH(("100"),(E84))))</formula>
    </cfRule>
  </conditionalFormatting>
  <conditionalFormatting sqref="E84:G85">
    <cfRule type="containsText" dxfId="2" priority="32" operator="containsText" text="75">
      <formula>NOT(ISERROR(SEARCH(("75"),(E84))))</formula>
    </cfRule>
  </conditionalFormatting>
  <conditionalFormatting sqref="E82:H82">
    <cfRule type="containsText" dxfId="0" priority="33" operator="containsText" text="25">
      <formula>NOT(ISERROR(SEARCH(("25"),(E82))))</formula>
    </cfRule>
  </conditionalFormatting>
  <conditionalFormatting sqref="E82:H82">
    <cfRule type="containsText" dxfId="1" priority="34" operator="containsText" text="50">
      <formula>NOT(ISERROR(SEARCH(("50"),(E82))))</formula>
    </cfRule>
  </conditionalFormatting>
  <conditionalFormatting sqref="E82:H82">
    <cfRule type="containsText" dxfId="2" priority="35" operator="containsText" text="100">
      <formula>NOT(ISERROR(SEARCH(("100"),(E82))))</formula>
    </cfRule>
  </conditionalFormatting>
  <conditionalFormatting sqref="E82:H82">
    <cfRule type="containsText" dxfId="2" priority="36" operator="containsText" text="75">
      <formula>NOT(ISERROR(SEARCH(("75"),(E82))))</formula>
    </cfRule>
  </conditionalFormatting>
  <conditionalFormatting sqref="I81:I85">
    <cfRule type="containsText" dxfId="0" priority="37" operator="containsText" text="25">
      <formula>NOT(ISERROR(SEARCH(("25"),(I81))))</formula>
    </cfRule>
  </conditionalFormatting>
  <conditionalFormatting sqref="I81:I85">
    <cfRule type="containsText" dxfId="1" priority="38" operator="containsText" text="50">
      <formula>NOT(ISERROR(SEARCH(("50"),(I81))))</formula>
    </cfRule>
  </conditionalFormatting>
  <conditionalFormatting sqref="I81:I85">
    <cfRule type="containsText" dxfId="2" priority="39" operator="containsText" text="100">
      <formula>NOT(ISERROR(SEARCH(("100"),(I81))))</formula>
    </cfRule>
  </conditionalFormatting>
  <conditionalFormatting sqref="I81:I85">
    <cfRule type="containsText" dxfId="2" priority="40" operator="containsText" text="75">
      <formula>NOT(ISERROR(SEARCH(("75"),(I81))))</formula>
    </cfRule>
  </conditionalFormatting>
  <conditionalFormatting sqref="I87:J109">
    <cfRule type="containsText" dxfId="0" priority="41" operator="containsText" text="25">
      <formula>NOT(ISERROR(SEARCH(("25"),(I87))))</formula>
    </cfRule>
  </conditionalFormatting>
  <conditionalFormatting sqref="I87:J109">
    <cfRule type="containsText" dxfId="1" priority="42" operator="containsText" text="50">
      <formula>NOT(ISERROR(SEARCH(("50"),(I87))))</formula>
    </cfRule>
  </conditionalFormatting>
  <conditionalFormatting sqref="I87:J109">
    <cfRule type="containsText" dxfId="2" priority="43" operator="containsText" text="100">
      <formula>NOT(ISERROR(SEARCH(("100"),(I87))))</formula>
    </cfRule>
  </conditionalFormatting>
  <conditionalFormatting sqref="I87:J109">
    <cfRule type="containsText" dxfId="2" priority="44" operator="containsText" text="75">
      <formula>NOT(ISERROR(SEARCH(("75"),(I87))))</formula>
    </cfRule>
  </conditionalFormatting>
  <conditionalFormatting sqref="K78:K81">
    <cfRule type="containsText" dxfId="0" priority="45" operator="containsText" text="25">
      <formula>NOT(ISERROR(SEARCH(("25"),(K78))))</formula>
    </cfRule>
  </conditionalFormatting>
  <conditionalFormatting sqref="K78:K81">
    <cfRule type="containsText" dxfId="1" priority="46" operator="containsText" text="50">
      <formula>NOT(ISERROR(SEARCH(("50"),(K78))))</formula>
    </cfRule>
  </conditionalFormatting>
  <conditionalFormatting sqref="K78:K81">
    <cfRule type="containsText" dxfId="2" priority="47" operator="containsText" text="100">
      <formula>NOT(ISERROR(SEARCH(("100"),(K78))))</formula>
    </cfRule>
  </conditionalFormatting>
  <conditionalFormatting sqref="K78:K81">
    <cfRule type="containsText" dxfId="2" priority="48" operator="containsText" text="75">
      <formula>NOT(ISERROR(SEARCH(("75"),(K78))))</formula>
    </cfRule>
  </conditionalFormatting>
  <conditionalFormatting sqref="K84:K87">
    <cfRule type="containsText" dxfId="0" priority="49" operator="containsText" text="25">
      <formula>NOT(ISERROR(SEARCH(("25"),(K84))))</formula>
    </cfRule>
  </conditionalFormatting>
  <conditionalFormatting sqref="K84:K87">
    <cfRule type="containsText" dxfId="1" priority="50" operator="containsText" text="50">
      <formula>NOT(ISERROR(SEARCH(("50"),(K84))))</formula>
    </cfRule>
  </conditionalFormatting>
  <conditionalFormatting sqref="K84:K87">
    <cfRule type="containsText" dxfId="2" priority="51" operator="containsText" text="100">
      <formula>NOT(ISERROR(SEARCH(("100"),(K84))))</formula>
    </cfRule>
  </conditionalFormatting>
  <conditionalFormatting sqref="K84:K87">
    <cfRule type="containsText" dxfId="2" priority="52" operator="containsText" text="75">
      <formula>NOT(ISERROR(SEARCH(("75"),(K84))))</formula>
    </cfRule>
  </conditionalFormatting>
  <conditionalFormatting sqref="K76:N77">
    <cfRule type="containsText" dxfId="0" priority="53" operator="containsText" text="25">
      <formula>NOT(ISERROR(SEARCH(("25"),(K76))))</formula>
    </cfRule>
  </conditionalFormatting>
  <conditionalFormatting sqref="K76:N77">
    <cfRule type="containsText" dxfId="1" priority="54" operator="containsText" text="50">
      <formula>NOT(ISERROR(SEARCH(("50"),(K76))))</formula>
    </cfRule>
  </conditionalFormatting>
  <conditionalFormatting sqref="K76:N77">
    <cfRule type="containsText" dxfId="2" priority="55" operator="containsText" text="100">
      <formula>NOT(ISERROR(SEARCH(("100"),(K76))))</formula>
    </cfRule>
  </conditionalFormatting>
  <conditionalFormatting sqref="K76:N77">
    <cfRule type="containsText" dxfId="2" priority="56" operator="containsText" text="75">
      <formula>NOT(ISERROR(SEARCH(("75"),(K76))))</formula>
    </cfRule>
  </conditionalFormatting>
  <conditionalFormatting sqref="K82:N83">
    <cfRule type="containsText" dxfId="0" priority="57" operator="containsText" text="25">
      <formula>NOT(ISERROR(SEARCH(("25"),(K82))))</formula>
    </cfRule>
  </conditionalFormatting>
  <conditionalFormatting sqref="K82:N83">
    <cfRule type="containsText" dxfId="1" priority="58" operator="containsText" text="50">
      <formula>NOT(ISERROR(SEARCH(("50"),(K82))))</formula>
    </cfRule>
  </conditionalFormatting>
  <conditionalFormatting sqref="K82:N83">
    <cfRule type="containsText" dxfId="2" priority="59" operator="containsText" text="100">
      <formula>NOT(ISERROR(SEARCH(("100"),(K82))))</formula>
    </cfRule>
  </conditionalFormatting>
  <conditionalFormatting sqref="K82:N83">
    <cfRule type="containsText" dxfId="2" priority="60" operator="containsText" text="75">
      <formula>NOT(ISERROR(SEARCH(("75"),(K82))))</formula>
    </cfRule>
  </conditionalFormatting>
  <conditionalFormatting sqref="K57:BJ57 K58:N61 K62:BJ63 K64:N67 K68:BJ69 K70:N72 K73:BJ75 P58:BJ61 P64:BJ67 P70:BJ72">
    <cfRule type="containsText" dxfId="0" priority="61" operator="containsText" text="25">
      <formula>NOT(ISERROR(SEARCH(("25"),(K57))))</formula>
    </cfRule>
  </conditionalFormatting>
  <conditionalFormatting sqref="K57:BJ57 K58:N61 K62:BJ63 K64:N67 K68:BJ69 K70:N72 K73:BJ75 P58:BJ61 P64:BJ67 P70:BJ72">
    <cfRule type="containsText" dxfId="1" priority="62" operator="containsText" text="50">
      <formula>NOT(ISERROR(SEARCH(("50"),(K57))))</formula>
    </cfRule>
  </conditionalFormatting>
  <conditionalFormatting sqref="K57:BJ57 K58:N61 K62:BJ63 K64:N67 K68:BJ69 K70:N72 K73:BJ75 P58:BJ61 P64:BJ67 P70:BJ72">
    <cfRule type="containsText" dxfId="2" priority="63" operator="containsText" text="100">
      <formula>NOT(ISERROR(SEARCH(("100"),(K57))))</formula>
    </cfRule>
  </conditionalFormatting>
  <conditionalFormatting sqref="K57:BJ57 K58:N61 K62:BJ63 K64:N67 K68:BJ69 K70:N72 K73:BJ75 P58:BJ61 P64:BJ67 P70:BJ72">
    <cfRule type="containsText" dxfId="2" priority="64" operator="containsText" text="75">
      <formula>NOT(ISERROR(SEARCH(("75"),(K57))))</formula>
    </cfRule>
  </conditionalFormatting>
  <conditionalFormatting sqref="K88:N91 K92:BJ94 K95:N97 K98:BJ99 K100:N103 K104:BJ105 K106:N109 P88:BJ91 P95:BJ97 P100:BJ103 P106:BJ109">
    <cfRule type="containsText" dxfId="0" priority="65" operator="containsText" text="25">
      <formula>NOT(ISERROR(SEARCH(("25"),(K88))))</formula>
    </cfRule>
  </conditionalFormatting>
  <conditionalFormatting sqref="K88:N91 K92:BJ94 K95:N97 K98:BJ99 K100:N103 K104:BJ105 K106:N109 P88:BJ91 P95:BJ97 P100:BJ103 P106:BJ109">
    <cfRule type="containsText" dxfId="1" priority="66" operator="containsText" text="50">
      <formula>NOT(ISERROR(SEARCH(("50"),(K88))))</formula>
    </cfRule>
  </conditionalFormatting>
  <conditionalFormatting sqref="K88:N91 K92:BJ94 K95:N97 K98:BJ99 K100:N103 K104:BJ105 K106:N109 P88:BJ91 P95:BJ97 P100:BJ103 P106:BJ109">
    <cfRule type="containsText" dxfId="2" priority="67" operator="containsText" text="100">
      <formula>NOT(ISERROR(SEARCH(("100"),(K88))))</formula>
    </cfRule>
  </conditionalFormatting>
  <conditionalFormatting sqref="K88:N91 K92:BJ94 K95:N97 K98:BJ99 K100:N103 K104:BJ105 K106:N109 P88:BJ91 P95:BJ97 P100:BJ103 P106:BJ109">
    <cfRule type="containsText" dxfId="2" priority="68" operator="containsText" text="75">
      <formula>NOT(ISERROR(SEARCH(("75"),(K88))))</formula>
    </cfRule>
  </conditionalFormatting>
  <conditionalFormatting sqref="L78:N78">
    <cfRule type="containsText" dxfId="0" priority="69" operator="containsText" text="25">
      <formula>NOT(ISERROR(SEARCH(("25"),(L78))))</formula>
    </cfRule>
  </conditionalFormatting>
  <conditionalFormatting sqref="L78:N78">
    <cfRule type="containsText" dxfId="1" priority="70" operator="containsText" text="50">
      <formula>NOT(ISERROR(SEARCH(("50"),(L78))))</formula>
    </cfRule>
  </conditionalFormatting>
  <conditionalFormatting sqref="L78:N78">
    <cfRule type="containsText" dxfId="2" priority="71" operator="containsText" text="100">
      <formula>NOT(ISERROR(SEARCH(("100"),(L78))))</formula>
    </cfRule>
  </conditionalFormatting>
  <conditionalFormatting sqref="L78:N78">
    <cfRule type="containsText" dxfId="2" priority="72" operator="containsText" text="75">
      <formula>NOT(ISERROR(SEARCH(("75"),(L78))))</formula>
    </cfRule>
  </conditionalFormatting>
  <conditionalFormatting sqref="L79:N79 L80:BJ80 P79:BJ79">
    <cfRule type="containsText" dxfId="0" priority="73" operator="containsText" text="25">
      <formula>NOT(ISERROR(SEARCH(("25"),(L79))))</formula>
    </cfRule>
  </conditionalFormatting>
  <conditionalFormatting sqref="L79:N79 L80:BJ80 P79:BJ79">
    <cfRule type="containsText" dxfId="1" priority="74" operator="containsText" text="50">
      <formula>NOT(ISERROR(SEARCH(("50"),(L79))))</formula>
    </cfRule>
  </conditionalFormatting>
  <conditionalFormatting sqref="L79:N79 L80:BJ80 P79:BJ79">
    <cfRule type="containsText" dxfId="2" priority="75" operator="containsText" text="100">
      <formula>NOT(ISERROR(SEARCH(("100"),(L79))))</formula>
    </cfRule>
  </conditionalFormatting>
  <conditionalFormatting sqref="L79:N79 L80:BJ80 P79:BJ79">
    <cfRule type="containsText" dxfId="2" priority="76" operator="containsText" text="75">
      <formula>NOT(ISERROR(SEARCH(("75"),(L79))))</formula>
    </cfRule>
  </conditionalFormatting>
  <conditionalFormatting sqref="M84:M85">
    <cfRule type="containsText" dxfId="0" priority="77" operator="containsText" text="25">
      <formula>NOT(ISERROR(SEARCH(("25"),(M84))))</formula>
    </cfRule>
  </conditionalFormatting>
  <conditionalFormatting sqref="M84:M85">
    <cfRule type="containsText" dxfId="1" priority="78" operator="containsText" text="50">
      <formula>NOT(ISERROR(SEARCH(("50"),(M84))))</formula>
    </cfRule>
  </conditionalFormatting>
  <conditionalFormatting sqref="M84:M85">
    <cfRule type="containsText" dxfId="2" priority="79" operator="containsText" text="100">
      <formula>NOT(ISERROR(SEARCH(("100"),(M84))))</formula>
    </cfRule>
  </conditionalFormatting>
  <conditionalFormatting sqref="M84:M85">
    <cfRule type="containsText" dxfId="2" priority="80" operator="containsText" text="75">
      <formula>NOT(ISERROR(SEARCH(("75"),(M84))))</formula>
    </cfRule>
  </conditionalFormatting>
  <conditionalFormatting sqref="P76:BJ78">
    <cfRule type="containsText" dxfId="0" priority="81" operator="containsText" text="25">
      <formula>NOT(ISERROR(SEARCH(("25"),(P76))))</formula>
    </cfRule>
  </conditionalFormatting>
  <conditionalFormatting sqref="P76:BJ78">
    <cfRule type="containsText" dxfId="1" priority="82" operator="containsText" text="50">
      <formula>NOT(ISERROR(SEARCH(("50"),(P76))))</formula>
    </cfRule>
  </conditionalFormatting>
  <conditionalFormatting sqref="P76:BJ78">
    <cfRule type="containsText" dxfId="2" priority="83" operator="containsText" text="100">
      <formula>NOT(ISERROR(SEARCH(("100"),(P76))))</formula>
    </cfRule>
  </conditionalFormatting>
  <conditionalFormatting sqref="P76:BJ78">
    <cfRule type="containsText" dxfId="2" priority="84" operator="containsText" text="75">
      <formula>NOT(ISERROR(SEARCH(("75"),(P76))))</formula>
    </cfRule>
  </conditionalFormatting>
  <conditionalFormatting sqref="BK3:BK124">
    <cfRule type="cellIs" dxfId="0" priority="85" operator="between">
      <formula>0</formula>
      <formula>40</formula>
    </cfRule>
  </conditionalFormatting>
  <conditionalFormatting sqref="BK3:BK124">
    <cfRule type="cellIs" dxfId="1" priority="86" operator="between">
      <formula>40</formula>
      <formula>70</formula>
    </cfRule>
  </conditionalFormatting>
  <conditionalFormatting sqref="BK3:BK124">
    <cfRule type="cellIs" dxfId="2" priority="87" operator="between">
      <formula>70</formula>
      <formula>100</formula>
    </cfRule>
  </conditionalFormatting>
  <conditionalFormatting sqref="BL3:BR79 BL80:BL110 BM80:BR80">
    <cfRule type="containsText" dxfId="0" priority="88" operator="containsText" text="25">
      <formula>NOT(ISERROR(SEARCH(("25"),(BL3))))</formula>
    </cfRule>
  </conditionalFormatting>
  <conditionalFormatting sqref="BL3:BR79 BL80:BL110 BM80:BR80">
    <cfRule type="containsText" dxfId="1" priority="89" operator="containsText" text="50">
      <formula>NOT(ISERROR(SEARCH(("50"),(BL3))))</formula>
    </cfRule>
  </conditionalFormatting>
  <conditionalFormatting sqref="BL3:BR79 BL80:BL110 BM80:BR80">
    <cfRule type="containsText" dxfId="2" priority="90" operator="containsText" text="100">
      <formula>NOT(ISERROR(SEARCH(("100"),(BL3))))</formula>
    </cfRule>
  </conditionalFormatting>
  <conditionalFormatting sqref="BL3:BR79 BL80:BL110 BM80:BR80">
    <cfRule type="containsText" dxfId="2" priority="91" operator="containsText" text="75">
      <formula>NOT(ISERROR(SEARCH(("75"),(BL3))))</formula>
    </cfRule>
  </conditionalFormatting>
  <conditionalFormatting sqref="BM87:BR110">
    <cfRule type="containsText" dxfId="0" priority="92" operator="containsText" text="25">
      <formula>NOT(ISERROR(SEARCH(("25"),(BM87))))</formula>
    </cfRule>
  </conditionalFormatting>
  <conditionalFormatting sqref="BM87:BR110">
    <cfRule type="containsText" dxfId="1" priority="93" operator="containsText" text="50">
      <formula>NOT(ISERROR(SEARCH(("50"),(BM87))))</formula>
    </cfRule>
  </conditionalFormatting>
  <conditionalFormatting sqref="BM87:BR110">
    <cfRule type="containsText" dxfId="2" priority="94" operator="containsText" text="100">
      <formula>NOT(ISERROR(SEARCH(("100"),(BM87))))</formula>
    </cfRule>
  </conditionalFormatting>
  <conditionalFormatting sqref="BM87:BR110">
    <cfRule type="containsText" dxfId="2" priority="95" operator="containsText" text="75">
      <formula>NOT(ISERROR(SEARCH(("75"),(BM87))))</formula>
    </cfRule>
  </conditionalFormatting>
  <conditionalFormatting sqref="BO3:BO38">
    <cfRule type="containsText" dxfId="0" priority="96" operator="containsText" text="25">
      <formula>NOT(ISERROR(SEARCH(("25"),(BO3))))</formula>
    </cfRule>
  </conditionalFormatting>
  <conditionalFormatting sqref="BO3:BO38">
    <cfRule type="containsText" dxfId="1" priority="97" operator="containsText" text="50">
      <formula>NOT(ISERROR(SEARCH(("50"),(BO3))))</formula>
    </cfRule>
  </conditionalFormatting>
  <conditionalFormatting sqref="BO3:BO38">
    <cfRule type="containsText" dxfId="2" priority="98" operator="containsText" text="100">
      <formula>NOT(ISERROR(SEARCH(("100"),(BO3))))</formula>
    </cfRule>
  </conditionalFormatting>
  <conditionalFormatting sqref="BO3:BO38">
    <cfRule type="containsText" dxfId="2" priority="99" operator="containsText" text="75">
      <formula>NOT(ISERROR(SEARCH(("75"),(BO3))))</formula>
    </cfRule>
  </conditionalFormatting>
  <conditionalFormatting sqref="BQ3:BQ38">
    <cfRule type="containsText" dxfId="0" priority="100" operator="containsText" text="25">
      <formula>NOT(ISERROR(SEARCH(("25"),(BQ3))))</formula>
    </cfRule>
  </conditionalFormatting>
  <conditionalFormatting sqref="BQ3:BQ38">
    <cfRule type="containsText" dxfId="1" priority="101" operator="containsText" text="50">
      <formula>NOT(ISERROR(SEARCH(("50"),(BQ3))))</formula>
    </cfRule>
  </conditionalFormatting>
  <conditionalFormatting sqref="BQ3:BQ38">
    <cfRule type="containsText" dxfId="2" priority="102" operator="containsText" text="100">
      <formula>NOT(ISERROR(SEARCH(("100"),(BQ3))))</formula>
    </cfRule>
  </conditionalFormatting>
  <conditionalFormatting sqref="BQ3:BQ38">
    <cfRule type="containsText" dxfId="2" priority="103" operator="containsText" text="75">
      <formula>NOT(ISERROR(SEARCH(("75"),(BQ3))))</formula>
    </cfRule>
  </conditionalFormatting>
  <conditionalFormatting sqref="O58">
    <cfRule type="containsText" dxfId="0" priority="104" operator="containsText" text="25">
      <formula>NOT(ISERROR(SEARCH(("25"),(O58))))</formula>
    </cfRule>
  </conditionalFormatting>
  <conditionalFormatting sqref="O58">
    <cfRule type="containsText" dxfId="1" priority="105" operator="containsText" text="50">
      <formula>NOT(ISERROR(SEARCH(("50"),(O58))))</formula>
    </cfRule>
  </conditionalFormatting>
  <conditionalFormatting sqref="O58">
    <cfRule type="containsText" dxfId="2" priority="106" operator="containsText" text="100">
      <formula>NOT(ISERROR(SEARCH(("100"),(O58))))</formula>
    </cfRule>
  </conditionalFormatting>
  <conditionalFormatting sqref="O58">
    <cfRule type="containsText" dxfId="2" priority="107" operator="containsText" text="75">
      <formula>NOT(ISERROR(SEARCH(("75"),(O58))))</formula>
    </cfRule>
  </conditionalFormatting>
  <conditionalFormatting sqref="O59">
    <cfRule type="containsText" dxfId="0" priority="108" operator="containsText" text="25">
      <formula>NOT(ISERROR(SEARCH(("25"),(O59))))</formula>
    </cfRule>
  </conditionalFormatting>
  <conditionalFormatting sqref="O59">
    <cfRule type="containsText" dxfId="1" priority="109" operator="containsText" text="50">
      <formula>NOT(ISERROR(SEARCH(("50"),(O59))))</formula>
    </cfRule>
  </conditionalFormatting>
  <conditionalFormatting sqref="O59">
    <cfRule type="containsText" dxfId="2" priority="110" operator="containsText" text="100">
      <formula>NOT(ISERROR(SEARCH(("100"),(O59))))</formula>
    </cfRule>
  </conditionalFormatting>
  <conditionalFormatting sqref="O59">
    <cfRule type="containsText" dxfId="2" priority="111" operator="containsText" text="75">
      <formula>NOT(ISERROR(SEARCH(("75"),(O59))))</formula>
    </cfRule>
  </conditionalFormatting>
  <conditionalFormatting sqref="O60">
    <cfRule type="containsText" dxfId="0" priority="112" operator="containsText" text="25">
      <formula>NOT(ISERROR(SEARCH(("25"),(O60))))</formula>
    </cfRule>
  </conditionalFormatting>
  <conditionalFormatting sqref="O60">
    <cfRule type="containsText" dxfId="1" priority="113" operator="containsText" text="50">
      <formula>NOT(ISERROR(SEARCH(("50"),(O60))))</formula>
    </cfRule>
  </conditionalFormatting>
  <conditionalFormatting sqref="O60">
    <cfRule type="containsText" dxfId="2" priority="114" operator="containsText" text="100">
      <formula>NOT(ISERROR(SEARCH(("100"),(O60))))</formula>
    </cfRule>
  </conditionalFormatting>
  <conditionalFormatting sqref="O60">
    <cfRule type="containsText" dxfId="2" priority="115" operator="containsText" text="75">
      <formula>NOT(ISERROR(SEARCH(("75"),(O60))))</formula>
    </cfRule>
  </conditionalFormatting>
  <conditionalFormatting sqref="O64">
    <cfRule type="containsText" dxfId="0" priority="116" operator="containsText" text="25">
      <formula>NOT(ISERROR(SEARCH(("25"),(O64))))</formula>
    </cfRule>
  </conditionalFormatting>
  <conditionalFormatting sqref="O64">
    <cfRule type="containsText" dxfId="1" priority="117" operator="containsText" text="50">
      <formula>NOT(ISERROR(SEARCH(("50"),(O64))))</formula>
    </cfRule>
  </conditionalFormatting>
  <conditionalFormatting sqref="O64">
    <cfRule type="containsText" dxfId="2" priority="118" operator="containsText" text="100">
      <formula>NOT(ISERROR(SEARCH(("100"),(O64))))</formula>
    </cfRule>
  </conditionalFormatting>
  <conditionalFormatting sqref="O64">
    <cfRule type="containsText" dxfId="2" priority="119" operator="containsText" text="75">
      <formula>NOT(ISERROR(SEARCH(("75"),(O64))))</formula>
    </cfRule>
  </conditionalFormatting>
  <conditionalFormatting sqref="O65">
    <cfRule type="containsText" dxfId="0" priority="120" operator="containsText" text="25">
      <formula>NOT(ISERROR(SEARCH(("25"),(O65))))</formula>
    </cfRule>
  </conditionalFormatting>
  <conditionalFormatting sqref="O65">
    <cfRule type="containsText" dxfId="1" priority="121" operator="containsText" text="50">
      <formula>NOT(ISERROR(SEARCH(("50"),(O65))))</formula>
    </cfRule>
  </conditionalFormatting>
  <conditionalFormatting sqref="O65">
    <cfRule type="containsText" dxfId="2" priority="122" operator="containsText" text="100">
      <formula>NOT(ISERROR(SEARCH(("100"),(O65))))</formula>
    </cfRule>
  </conditionalFormatting>
  <conditionalFormatting sqref="O65">
    <cfRule type="containsText" dxfId="2" priority="123" operator="containsText" text="75">
      <formula>NOT(ISERROR(SEARCH(("75"),(O65))))</formula>
    </cfRule>
  </conditionalFormatting>
  <conditionalFormatting sqref="O66">
    <cfRule type="containsText" dxfId="0" priority="124" operator="containsText" text="25">
      <formula>NOT(ISERROR(SEARCH(("25"),(O66))))</formula>
    </cfRule>
  </conditionalFormatting>
  <conditionalFormatting sqref="O66">
    <cfRule type="containsText" dxfId="1" priority="125" operator="containsText" text="50">
      <formula>NOT(ISERROR(SEARCH(("50"),(O66))))</formula>
    </cfRule>
  </conditionalFormatting>
  <conditionalFormatting sqref="O66">
    <cfRule type="containsText" dxfId="2" priority="126" operator="containsText" text="100">
      <formula>NOT(ISERROR(SEARCH(("100"),(O66))))</formula>
    </cfRule>
  </conditionalFormatting>
  <conditionalFormatting sqref="O66">
    <cfRule type="containsText" dxfId="2" priority="127" operator="containsText" text="75">
      <formula>NOT(ISERROR(SEARCH(("75"),(O66))))</formula>
    </cfRule>
  </conditionalFormatting>
  <conditionalFormatting sqref="O67">
    <cfRule type="containsText" dxfId="0" priority="128" operator="containsText" text="25">
      <formula>NOT(ISERROR(SEARCH(("25"),(O67))))</formula>
    </cfRule>
  </conditionalFormatting>
  <conditionalFormatting sqref="O67">
    <cfRule type="containsText" dxfId="1" priority="129" operator="containsText" text="50">
      <formula>NOT(ISERROR(SEARCH(("50"),(O67))))</formula>
    </cfRule>
  </conditionalFormatting>
  <conditionalFormatting sqref="O67">
    <cfRule type="containsText" dxfId="2" priority="130" operator="containsText" text="100">
      <formula>NOT(ISERROR(SEARCH(("100"),(O67))))</formula>
    </cfRule>
  </conditionalFormatting>
  <conditionalFormatting sqref="O67">
    <cfRule type="containsText" dxfId="2" priority="131" operator="containsText" text="75">
      <formula>NOT(ISERROR(SEARCH(("75"),(O67))))</formula>
    </cfRule>
  </conditionalFormatting>
  <conditionalFormatting sqref="O70">
    <cfRule type="containsText" dxfId="0" priority="132" operator="containsText" text="25">
      <formula>NOT(ISERROR(SEARCH(("25"),(O70))))</formula>
    </cfRule>
  </conditionalFormatting>
  <conditionalFormatting sqref="O70">
    <cfRule type="containsText" dxfId="1" priority="133" operator="containsText" text="50">
      <formula>NOT(ISERROR(SEARCH(("50"),(O70))))</formula>
    </cfRule>
  </conditionalFormatting>
  <conditionalFormatting sqref="O70">
    <cfRule type="containsText" dxfId="2" priority="134" operator="containsText" text="100">
      <formula>NOT(ISERROR(SEARCH(("100"),(O70))))</formula>
    </cfRule>
  </conditionalFormatting>
  <conditionalFormatting sqref="O70">
    <cfRule type="containsText" dxfId="2" priority="135" operator="containsText" text="75">
      <formula>NOT(ISERROR(SEARCH(("75"),(O70))))</formula>
    </cfRule>
  </conditionalFormatting>
  <conditionalFormatting sqref="O76">
    <cfRule type="containsText" dxfId="0" priority="136" operator="containsText" text="25">
      <formula>NOT(ISERROR(SEARCH(("25"),(O76))))</formula>
    </cfRule>
  </conditionalFormatting>
  <conditionalFormatting sqref="O76">
    <cfRule type="containsText" dxfId="1" priority="137" operator="containsText" text="50">
      <formula>NOT(ISERROR(SEARCH(("50"),(O76))))</formula>
    </cfRule>
  </conditionalFormatting>
  <conditionalFormatting sqref="O76">
    <cfRule type="containsText" dxfId="2" priority="138" operator="containsText" text="100">
      <formula>NOT(ISERROR(SEARCH(("100"),(O76))))</formula>
    </cfRule>
  </conditionalFormatting>
  <conditionalFormatting sqref="O76">
    <cfRule type="containsText" dxfId="2" priority="139" operator="containsText" text="75">
      <formula>NOT(ISERROR(SEARCH(("75"),(O76))))</formula>
    </cfRule>
  </conditionalFormatting>
  <conditionalFormatting sqref="O86">
    <cfRule type="containsText" dxfId="0" priority="140" operator="containsText" text="25">
      <formula>NOT(ISERROR(SEARCH(("25"),(O86))))</formula>
    </cfRule>
  </conditionalFormatting>
  <conditionalFormatting sqref="O86">
    <cfRule type="containsText" dxfId="1" priority="141" operator="containsText" text="50">
      <formula>NOT(ISERROR(SEARCH(("50"),(O86))))</formula>
    </cfRule>
  </conditionalFormatting>
  <conditionalFormatting sqref="O86">
    <cfRule type="containsText" dxfId="2" priority="142" operator="containsText" text="100">
      <formula>NOT(ISERROR(SEARCH(("100"),(O86))))</formula>
    </cfRule>
  </conditionalFormatting>
  <conditionalFormatting sqref="O86">
    <cfRule type="containsText" dxfId="2" priority="143" operator="containsText" text="75">
      <formula>NOT(ISERROR(SEARCH(("75"),(O86))))</formula>
    </cfRule>
  </conditionalFormatting>
  <conditionalFormatting sqref="O95">
    <cfRule type="containsText" dxfId="0" priority="144" operator="containsText" text="25">
      <formula>NOT(ISERROR(SEARCH(("25"),(O95))))</formula>
    </cfRule>
  </conditionalFormatting>
  <conditionalFormatting sqref="O95">
    <cfRule type="containsText" dxfId="1" priority="145" operator="containsText" text="50">
      <formula>NOT(ISERROR(SEARCH(("50"),(O95))))</formula>
    </cfRule>
  </conditionalFormatting>
  <conditionalFormatting sqref="O95">
    <cfRule type="containsText" dxfId="2" priority="146" operator="containsText" text="100">
      <formula>NOT(ISERROR(SEARCH(("100"),(O95))))</formula>
    </cfRule>
  </conditionalFormatting>
  <conditionalFormatting sqref="O95">
    <cfRule type="containsText" dxfId="2" priority="147" operator="containsText" text="75">
      <formula>NOT(ISERROR(SEARCH(("75"),(O95))))</formula>
    </cfRule>
  </conditionalFormatting>
  <conditionalFormatting sqref="O97">
    <cfRule type="containsText" dxfId="0" priority="148" operator="containsText" text="25">
      <formula>NOT(ISERROR(SEARCH(("25"),(O97))))</formula>
    </cfRule>
  </conditionalFormatting>
  <conditionalFormatting sqref="O97">
    <cfRule type="containsText" dxfId="1" priority="149" operator="containsText" text="50">
      <formula>NOT(ISERROR(SEARCH(("50"),(O97))))</formula>
    </cfRule>
  </conditionalFormatting>
  <conditionalFormatting sqref="O97">
    <cfRule type="containsText" dxfId="2" priority="150" operator="containsText" text="100">
      <formula>NOT(ISERROR(SEARCH(("100"),(O97))))</formula>
    </cfRule>
  </conditionalFormatting>
  <conditionalFormatting sqref="O97">
    <cfRule type="containsText" dxfId="2" priority="151" operator="containsText" text="75">
      <formula>NOT(ISERROR(SEARCH(("75"),(O97))))</formula>
    </cfRule>
  </conditionalFormatting>
  <conditionalFormatting sqref="O101">
    <cfRule type="containsText" dxfId="0" priority="152" operator="containsText" text="25">
      <formula>NOT(ISERROR(SEARCH(("25"),(O101))))</formula>
    </cfRule>
  </conditionalFormatting>
  <conditionalFormatting sqref="O101">
    <cfRule type="containsText" dxfId="1" priority="153" operator="containsText" text="50">
      <formula>NOT(ISERROR(SEARCH(("50"),(O101))))</formula>
    </cfRule>
  </conditionalFormatting>
  <conditionalFormatting sqref="O101">
    <cfRule type="containsText" dxfId="2" priority="154" operator="containsText" text="100">
      <formula>NOT(ISERROR(SEARCH(("100"),(O101))))</formula>
    </cfRule>
  </conditionalFormatting>
  <conditionalFormatting sqref="O101">
    <cfRule type="containsText" dxfId="2" priority="155" operator="containsText" text="75">
      <formula>NOT(ISERROR(SEARCH(("75"),(O101))))</formula>
    </cfRule>
  </conditionalFormatting>
  <conditionalFormatting sqref="O103">
    <cfRule type="containsText" dxfId="0" priority="156" operator="containsText" text="25">
      <formula>NOT(ISERROR(SEARCH(("25"),(O103))))</formula>
    </cfRule>
  </conditionalFormatting>
  <conditionalFormatting sqref="O103">
    <cfRule type="containsText" dxfId="1" priority="157" operator="containsText" text="50">
      <formula>NOT(ISERROR(SEARCH(("50"),(O103))))</formula>
    </cfRule>
  </conditionalFormatting>
  <conditionalFormatting sqref="O103">
    <cfRule type="containsText" dxfId="2" priority="158" operator="containsText" text="100">
      <formula>NOT(ISERROR(SEARCH(("100"),(O103))))</formula>
    </cfRule>
  </conditionalFormatting>
  <conditionalFormatting sqref="O103">
    <cfRule type="containsText" dxfId="2" priority="159" operator="containsText" text="75">
      <formula>NOT(ISERROR(SEARCH(("75"),(O103))))</formula>
    </cfRule>
  </conditionalFormatting>
  <conditionalFormatting sqref="O106">
    <cfRule type="containsText" dxfId="0" priority="160" operator="containsText" text="25">
      <formula>NOT(ISERROR(SEARCH(("25"),(O106))))</formula>
    </cfRule>
  </conditionalFormatting>
  <conditionalFormatting sqref="O106">
    <cfRule type="containsText" dxfId="1" priority="161" operator="containsText" text="50">
      <formula>NOT(ISERROR(SEARCH(("50"),(O106))))</formula>
    </cfRule>
  </conditionalFormatting>
  <conditionalFormatting sqref="O106">
    <cfRule type="containsText" dxfId="2" priority="162" operator="containsText" text="100">
      <formula>NOT(ISERROR(SEARCH(("100"),(O106))))</formula>
    </cfRule>
  </conditionalFormatting>
  <conditionalFormatting sqref="O106">
    <cfRule type="containsText" dxfId="2" priority="163" operator="containsText" text="75">
      <formula>NOT(ISERROR(SEARCH(("75"),(O106))))</formula>
    </cfRule>
  </conditionalFormatting>
  <conditionalFormatting sqref="O107">
    <cfRule type="containsText" dxfId="0" priority="164" operator="containsText" text="25">
      <formula>NOT(ISERROR(SEARCH(("25"),(O107))))</formula>
    </cfRule>
  </conditionalFormatting>
  <conditionalFormatting sqref="O107">
    <cfRule type="containsText" dxfId="1" priority="165" operator="containsText" text="50">
      <formula>NOT(ISERROR(SEARCH(("50"),(O107))))</formula>
    </cfRule>
  </conditionalFormatting>
  <conditionalFormatting sqref="O107">
    <cfRule type="containsText" dxfId="2" priority="166" operator="containsText" text="100">
      <formula>NOT(ISERROR(SEARCH(("100"),(O107))))</formula>
    </cfRule>
  </conditionalFormatting>
  <conditionalFormatting sqref="O107">
    <cfRule type="containsText" dxfId="2" priority="167" operator="containsText" text="75">
      <formula>NOT(ISERROR(SEARCH(("75"),(O107))))</formula>
    </cfRule>
  </conditionalFormatting>
  <conditionalFormatting sqref="O108">
    <cfRule type="containsText" dxfId="0" priority="168" operator="containsText" text="25">
      <formula>NOT(ISERROR(SEARCH(("25"),(O108))))</formula>
    </cfRule>
  </conditionalFormatting>
  <conditionalFormatting sqref="O108">
    <cfRule type="containsText" dxfId="1" priority="169" operator="containsText" text="50">
      <formula>NOT(ISERROR(SEARCH(("50"),(O108))))</formula>
    </cfRule>
  </conditionalFormatting>
  <conditionalFormatting sqref="O108">
    <cfRule type="containsText" dxfId="2" priority="170" operator="containsText" text="100">
      <formula>NOT(ISERROR(SEARCH(("100"),(O108))))</formula>
    </cfRule>
  </conditionalFormatting>
  <conditionalFormatting sqref="O108">
    <cfRule type="containsText" dxfId="2" priority="171" operator="containsText" text="75">
      <formula>NOT(ISERROR(SEARCH(("75"),(O108))))</formula>
    </cfRule>
  </conditionalFormatting>
  <conditionalFormatting sqref="O109">
    <cfRule type="containsText" dxfId="0" priority="172" operator="containsText" text="25">
      <formula>NOT(ISERROR(SEARCH(("25"),(O109))))</formula>
    </cfRule>
  </conditionalFormatting>
  <conditionalFormatting sqref="O109">
    <cfRule type="containsText" dxfId="1" priority="173" operator="containsText" text="50">
      <formula>NOT(ISERROR(SEARCH(("50"),(O109))))</formula>
    </cfRule>
  </conditionalFormatting>
  <conditionalFormatting sqref="O109">
    <cfRule type="containsText" dxfId="2" priority="174" operator="containsText" text="100">
      <formula>NOT(ISERROR(SEARCH(("100"),(O109))))</formula>
    </cfRule>
  </conditionalFormatting>
  <conditionalFormatting sqref="O109">
    <cfRule type="containsText" dxfId="2" priority="175" operator="containsText" text="75">
      <formula>NOT(ISERROR(SEARCH(("75"),(O109))))</formula>
    </cfRule>
  </conditionalFormatting>
  <conditionalFormatting sqref="O72">
    <cfRule type="containsText" dxfId="0" priority="176" operator="containsText" text="25">
      <formula>NOT(ISERROR(SEARCH(("25"),(O72))))</formula>
    </cfRule>
  </conditionalFormatting>
  <conditionalFormatting sqref="O72">
    <cfRule type="containsText" dxfId="1" priority="177" operator="containsText" text="50">
      <formula>NOT(ISERROR(SEARCH(("50"),(O72))))</formula>
    </cfRule>
  </conditionalFormatting>
  <conditionalFormatting sqref="O72">
    <cfRule type="containsText" dxfId="2" priority="178" operator="containsText" text="100">
      <formula>NOT(ISERROR(SEARCH(("100"),(O72))))</formula>
    </cfRule>
  </conditionalFormatting>
  <conditionalFormatting sqref="O72">
    <cfRule type="containsText" dxfId="2" priority="179" operator="containsText" text="75">
      <formula>NOT(ISERROR(SEARCH(("75"),(O72))))</formula>
    </cfRule>
  </conditionalFormatting>
  <conditionalFormatting sqref="O78">
    <cfRule type="containsText" dxfId="0" priority="180" operator="containsText" text="25">
      <formula>NOT(ISERROR(SEARCH(("25"),(O78))))</formula>
    </cfRule>
  </conditionalFormatting>
  <conditionalFormatting sqref="O78">
    <cfRule type="containsText" dxfId="1" priority="181" operator="containsText" text="50">
      <formula>NOT(ISERROR(SEARCH(("50"),(O78))))</formula>
    </cfRule>
  </conditionalFormatting>
  <conditionalFormatting sqref="O78">
    <cfRule type="containsText" dxfId="2" priority="182" operator="containsText" text="100">
      <formula>NOT(ISERROR(SEARCH(("100"),(O78))))</formula>
    </cfRule>
  </conditionalFormatting>
  <conditionalFormatting sqref="O78">
    <cfRule type="containsText" dxfId="2" priority="183" operator="containsText" text="75">
      <formula>NOT(ISERROR(SEARCH(("75"),(O78))))</formula>
    </cfRule>
  </conditionalFormatting>
  <conditionalFormatting sqref="O79">
    <cfRule type="containsText" dxfId="0" priority="184" operator="containsText" text="25">
      <formula>NOT(ISERROR(SEARCH(("25"),(O79))))</formula>
    </cfRule>
  </conditionalFormatting>
  <conditionalFormatting sqref="O79">
    <cfRule type="containsText" dxfId="1" priority="185" operator="containsText" text="50">
      <formula>NOT(ISERROR(SEARCH(("50"),(O79))))</formula>
    </cfRule>
  </conditionalFormatting>
  <conditionalFormatting sqref="O79">
    <cfRule type="containsText" dxfId="2" priority="186" operator="containsText" text="100">
      <formula>NOT(ISERROR(SEARCH(("100"),(O79))))</formula>
    </cfRule>
  </conditionalFormatting>
  <conditionalFormatting sqref="O79">
    <cfRule type="containsText" dxfId="2" priority="187" operator="containsText" text="75">
      <formula>NOT(ISERROR(SEARCH(("75"),(O79))))</formula>
    </cfRule>
  </conditionalFormatting>
  <conditionalFormatting sqref="O82">
    <cfRule type="containsText" dxfId="0" priority="188" operator="containsText" text="25">
      <formula>NOT(ISERROR(SEARCH(("25"),(O82))))</formula>
    </cfRule>
  </conditionalFormatting>
  <conditionalFormatting sqref="O82">
    <cfRule type="containsText" dxfId="1" priority="189" operator="containsText" text="50">
      <formula>NOT(ISERROR(SEARCH(("50"),(O82))))</formula>
    </cfRule>
  </conditionalFormatting>
  <conditionalFormatting sqref="O82">
    <cfRule type="containsText" dxfId="2" priority="190" operator="containsText" text="100">
      <formula>NOT(ISERROR(SEARCH(("100"),(O82))))</formula>
    </cfRule>
  </conditionalFormatting>
  <conditionalFormatting sqref="O82">
    <cfRule type="containsText" dxfId="2" priority="191" operator="containsText" text="75">
      <formula>NOT(ISERROR(SEARCH(("75"),(O82))))</formula>
    </cfRule>
  </conditionalFormatting>
  <conditionalFormatting sqref="O84">
    <cfRule type="containsText" dxfId="0" priority="192" operator="containsText" text="25">
      <formula>NOT(ISERROR(SEARCH(("25"),(O84))))</formula>
    </cfRule>
  </conditionalFormatting>
  <conditionalFormatting sqref="O84">
    <cfRule type="containsText" dxfId="1" priority="193" operator="containsText" text="50">
      <formula>NOT(ISERROR(SEARCH(("50"),(O84))))</formula>
    </cfRule>
  </conditionalFormatting>
  <conditionalFormatting sqref="O84">
    <cfRule type="containsText" dxfId="2" priority="194" operator="containsText" text="100">
      <formula>NOT(ISERROR(SEARCH(("100"),(O84))))</formula>
    </cfRule>
  </conditionalFormatting>
  <conditionalFormatting sqref="O84">
    <cfRule type="containsText" dxfId="2" priority="195" operator="containsText" text="75">
      <formula>NOT(ISERROR(SEARCH(("75"),(O84))))</formula>
    </cfRule>
  </conditionalFormatting>
  <conditionalFormatting sqref="O85">
    <cfRule type="containsText" dxfId="0" priority="196" operator="containsText" text="25">
      <formula>NOT(ISERROR(SEARCH(("25"),(O85))))</formula>
    </cfRule>
  </conditionalFormatting>
  <conditionalFormatting sqref="O85">
    <cfRule type="containsText" dxfId="1" priority="197" operator="containsText" text="50">
      <formula>NOT(ISERROR(SEARCH(("50"),(O85))))</formula>
    </cfRule>
  </conditionalFormatting>
  <conditionalFormatting sqref="O85">
    <cfRule type="containsText" dxfId="2" priority="198" operator="containsText" text="100">
      <formula>NOT(ISERROR(SEARCH(("100"),(O85))))</formula>
    </cfRule>
  </conditionalFormatting>
  <conditionalFormatting sqref="O85">
    <cfRule type="containsText" dxfId="2" priority="199" operator="containsText" text="75">
      <formula>NOT(ISERROR(SEARCH(("75"),(O85))))</formula>
    </cfRule>
  </conditionalFormatting>
  <conditionalFormatting sqref="O88">
    <cfRule type="containsText" dxfId="0" priority="200" operator="containsText" text="25">
      <formula>NOT(ISERROR(SEARCH(("25"),(O88))))</formula>
    </cfRule>
  </conditionalFormatting>
  <conditionalFormatting sqref="O88">
    <cfRule type="containsText" dxfId="1" priority="201" operator="containsText" text="50">
      <formula>NOT(ISERROR(SEARCH(("50"),(O88))))</formula>
    </cfRule>
  </conditionalFormatting>
  <conditionalFormatting sqref="O88">
    <cfRule type="containsText" dxfId="2" priority="202" operator="containsText" text="100">
      <formula>NOT(ISERROR(SEARCH(("100"),(O88))))</formula>
    </cfRule>
  </conditionalFormatting>
  <conditionalFormatting sqref="O88">
    <cfRule type="containsText" dxfId="2" priority="203" operator="containsText" text="75">
      <formula>NOT(ISERROR(SEARCH(("75"),(O88))))</formula>
    </cfRule>
  </conditionalFormatting>
  <conditionalFormatting sqref="O90">
    <cfRule type="containsText" dxfId="0" priority="204" operator="containsText" text="25">
      <formula>NOT(ISERROR(SEARCH(("25"),(O90))))</formula>
    </cfRule>
  </conditionalFormatting>
  <conditionalFormatting sqref="O90">
    <cfRule type="containsText" dxfId="1" priority="205" operator="containsText" text="50">
      <formula>NOT(ISERROR(SEARCH(("50"),(O90))))</formula>
    </cfRule>
  </conditionalFormatting>
  <conditionalFormatting sqref="O90">
    <cfRule type="containsText" dxfId="2" priority="206" operator="containsText" text="100">
      <formula>NOT(ISERROR(SEARCH(("100"),(O90))))</formula>
    </cfRule>
  </conditionalFormatting>
  <conditionalFormatting sqref="O90">
    <cfRule type="containsText" dxfId="2" priority="207" operator="containsText" text="75">
      <formula>NOT(ISERROR(SEARCH(("75"),(O90))))</formula>
    </cfRule>
  </conditionalFormatting>
  <conditionalFormatting sqref="O91">
    <cfRule type="containsText" dxfId="0" priority="208" operator="containsText" text="25">
      <formula>NOT(ISERROR(SEARCH(("25"),(O91))))</formula>
    </cfRule>
  </conditionalFormatting>
  <conditionalFormatting sqref="O91">
    <cfRule type="containsText" dxfId="1" priority="209" operator="containsText" text="50">
      <formula>NOT(ISERROR(SEARCH(("50"),(O91))))</formula>
    </cfRule>
  </conditionalFormatting>
  <conditionalFormatting sqref="O91">
    <cfRule type="containsText" dxfId="2" priority="210" operator="containsText" text="100">
      <formula>NOT(ISERROR(SEARCH(("100"),(O91))))</formula>
    </cfRule>
  </conditionalFormatting>
  <conditionalFormatting sqref="O91">
    <cfRule type="containsText" dxfId="2" priority="211" operator="containsText" text="75">
      <formula>NOT(ISERROR(SEARCH(("75"),(O91))))</formula>
    </cfRule>
  </conditionalFormatting>
  <conditionalFormatting sqref="O71">
    <cfRule type="containsText" dxfId="0" priority="212" operator="containsText" text="25">
      <formula>NOT(ISERROR(SEARCH(("25"),(O71))))</formula>
    </cfRule>
  </conditionalFormatting>
  <conditionalFormatting sqref="O71">
    <cfRule type="containsText" dxfId="1" priority="213" operator="containsText" text="50">
      <formula>NOT(ISERROR(SEARCH(("50"),(O71))))</formula>
    </cfRule>
  </conditionalFormatting>
  <conditionalFormatting sqref="O71">
    <cfRule type="containsText" dxfId="2" priority="214" operator="containsText" text="100">
      <formula>NOT(ISERROR(SEARCH(("100"),(O71))))</formula>
    </cfRule>
  </conditionalFormatting>
  <conditionalFormatting sqref="O71">
    <cfRule type="containsText" dxfId="2" priority="215" operator="containsText" text="75">
      <formula>NOT(ISERROR(SEARCH(("75"),(O71))))</formula>
    </cfRule>
  </conditionalFormatting>
  <conditionalFormatting sqref="O77">
    <cfRule type="containsText" dxfId="0" priority="216" operator="containsText" text="25">
      <formula>NOT(ISERROR(SEARCH(("25"),(O77))))</formula>
    </cfRule>
  </conditionalFormatting>
  <conditionalFormatting sqref="O77">
    <cfRule type="containsText" dxfId="1" priority="217" operator="containsText" text="50">
      <formula>NOT(ISERROR(SEARCH(("50"),(O77))))</formula>
    </cfRule>
  </conditionalFormatting>
  <conditionalFormatting sqref="O77">
    <cfRule type="containsText" dxfId="2" priority="218" operator="containsText" text="100">
      <formula>NOT(ISERROR(SEARCH(("100"),(O77))))</formula>
    </cfRule>
  </conditionalFormatting>
  <conditionalFormatting sqref="O77">
    <cfRule type="containsText" dxfId="2" priority="219" operator="containsText" text="75">
      <formula>NOT(ISERROR(SEARCH(("75"),(O77))))</formula>
    </cfRule>
  </conditionalFormatting>
  <conditionalFormatting sqref="O83">
    <cfRule type="containsText" dxfId="0" priority="220" operator="containsText" text="25">
      <formula>NOT(ISERROR(SEARCH(("25"),(O83))))</formula>
    </cfRule>
  </conditionalFormatting>
  <conditionalFormatting sqref="O83">
    <cfRule type="containsText" dxfId="1" priority="221" operator="containsText" text="50">
      <formula>NOT(ISERROR(SEARCH(("50"),(O83))))</formula>
    </cfRule>
  </conditionalFormatting>
  <conditionalFormatting sqref="O83">
    <cfRule type="containsText" dxfId="2" priority="222" operator="containsText" text="100">
      <formula>NOT(ISERROR(SEARCH(("100"),(O83))))</formula>
    </cfRule>
  </conditionalFormatting>
  <conditionalFormatting sqref="O83">
    <cfRule type="containsText" dxfId="2" priority="223" operator="containsText" text="75">
      <formula>NOT(ISERROR(SEARCH(("75"),(O83))))</formula>
    </cfRule>
  </conditionalFormatting>
  <conditionalFormatting sqref="O61">
    <cfRule type="containsText" dxfId="0" priority="224" operator="containsText" text="25">
      <formula>NOT(ISERROR(SEARCH(("25"),(O61))))</formula>
    </cfRule>
  </conditionalFormatting>
  <conditionalFormatting sqref="O61">
    <cfRule type="containsText" dxfId="1" priority="225" operator="containsText" text="50">
      <formula>NOT(ISERROR(SEARCH(("50"),(O61))))</formula>
    </cfRule>
  </conditionalFormatting>
  <conditionalFormatting sqref="O61">
    <cfRule type="containsText" dxfId="2" priority="226" operator="containsText" text="100">
      <formula>NOT(ISERROR(SEARCH(("100"),(O61))))</formula>
    </cfRule>
  </conditionalFormatting>
  <conditionalFormatting sqref="O61">
    <cfRule type="containsText" dxfId="2" priority="227" operator="containsText" text="75">
      <formula>NOT(ISERROR(SEARCH(("75"),(O61))))</formula>
    </cfRule>
  </conditionalFormatting>
  <conditionalFormatting sqref="O96">
    <cfRule type="containsText" dxfId="0" priority="228" operator="containsText" text="25">
      <formula>NOT(ISERROR(SEARCH(("25"),(O96))))</formula>
    </cfRule>
  </conditionalFormatting>
  <conditionalFormatting sqref="O96">
    <cfRule type="containsText" dxfId="1" priority="229" operator="containsText" text="50">
      <formula>NOT(ISERROR(SEARCH(("50"),(O96))))</formula>
    </cfRule>
  </conditionalFormatting>
  <conditionalFormatting sqref="O96">
    <cfRule type="containsText" dxfId="2" priority="230" operator="containsText" text="100">
      <formula>NOT(ISERROR(SEARCH(("100"),(O96))))</formula>
    </cfRule>
  </conditionalFormatting>
  <conditionalFormatting sqref="O96">
    <cfRule type="containsText" dxfId="2" priority="231" operator="containsText" text="75">
      <formula>NOT(ISERROR(SEARCH(("75"),(O96))))</formula>
    </cfRule>
  </conditionalFormatting>
  <conditionalFormatting sqref="O102">
    <cfRule type="containsText" dxfId="0" priority="232" operator="containsText" text="25">
      <formula>NOT(ISERROR(SEARCH(("25"),(O102))))</formula>
    </cfRule>
  </conditionalFormatting>
  <conditionalFormatting sqref="O102">
    <cfRule type="containsText" dxfId="1" priority="233" operator="containsText" text="50">
      <formula>NOT(ISERROR(SEARCH(("50"),(O102))))</formula>
    </cfRule>
  </conditionalFormatting>
  <conditionalFormatting sqref="O102">
    <cfRule type="containsText" dxfId="2" priority="234" operator="containsText" text="100">
      <formula>NOT(ISERROR(SEARCH(("100"),(O102))))</formula>
    </cfRule>
  </conditionalFormatting>
  <conditionalFormatting sqref="O102">
    <cfRule type="containsText" dxfId="2" priority="235" operator="containsText" text="75">
      <formula>NOT(ISERROR(SEARCH(("75"),(O102))))</formula>
    </cfRule>
  </conditionalFormatting>
  <conditionalFormatting sqref="O89">
    <cfRule type="containsText" dxfId="0" priority="236" operator="containsText" text="25">
      <formula>NOT(ISERROR(SEARCH(("25"),(O89))))</formula>
    </cfRule>
  </conditionalFormatting>
  <conditionalFormatting sqref="O89">
    <cfRule type="containsText" dxfId="1" priority="237" operator="containsText" text="50">
      <formula>NOT(ISERROR(SEARCH(("50"),(O89))))</formula>
    </cfRule>
  </conditionalFormatting>
  <conditionalFormatting sqref="O89">
    <cfRule type="containsText" dxfId="2" priority="238" operator="containsText" text="100">
      <formula>NOT(ISERROR(SEARCH(("100"),(O89))))</formula>
    </cfRule>
  </conditionalFormatting>
  <conditionalFormatting sqref="O89">
    <cfRule type="containsText" dxfId="2" priority="239" operator="containsText" text="75">
      <formula>NOT(ISERROR(SEARCH(("75"),(O89))))</formula>
    </cfRule>
  </conditionalFormatting>
  <conditionalFormatting sqref="O100">
    <cfRule type="containsText" dxfId="0" priority="240" operator="containsText" text="25">
      <formula>NOT(ISERROR(SEARCH(("25"),(O100))))</formula>
    </cfRule>
  </conditionalFormatting>
  <conditionalFormatting sqref="O100">
    <cfRule type="containsText" dxfId="1" priority="241" operator="containsText" text="50">
      <formula>NOT(ISERROR(SEARCH(("50"),(O100))))</formula>
    </cfRule>
  </conditionalFormatting>
  <conditionalFormatting sqref="O100">
    <cfRule type="containsText" dxfId="2" priority="242" operator="containsText" text="100">
      <formula>NOT(ISERROR(SEARCH(("100"),(O100))))</formula>
    </cfRule>
  </conditionalFormatting>
  <conditionalFormatting sqref="O100">
    <cfRule type="containsText" dxfId="2" priority="243" operator="containsText" text="75">
      <formula>NOT(ISERROR(SEARCH(("75"),(O100))))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2025-08-22T11:40:59Z</dcterms:created>
  <dc:creator>sandesh bs</dc:creator>
</cp:coreProperties>
</file>